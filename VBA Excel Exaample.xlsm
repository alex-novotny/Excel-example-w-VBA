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havaKelley\OneDrive - Chenard and Osborn\Desktop\"/>
    </mc:Choice>
  </mc:AlternateContent>
  <xr:revisionPtr revIDLastSave="377" documentId="8_{D655F237-F6AF-47F6-A36B-2CC277120EC6}" xr6:coauthVersionLast="45" xr6:coauthVersionMax="45" xr10:uidLastSave="{9F4855B8-8447-4740-8C1E-2B85FDE4EDE0}"/>
  <bookViews>
    <workbookView xWindow="-120" yWindow="-120" windowWidth="24240" windowHeight="13140" xr2:uid="{2E62C356-9F81-4633-B46D-9409A9F2C9B0}"/>
  </bookViews>
  <sheets>
    <sheet name="Current Inventory" sheetId="1" r:id="rId1"/>
    <sheet name="Categories" sheetId="2" r:id="rId2"/>
    <sheet name="Suppliers" sheetId="3" r:id="rId3"/>
    <sheet name="Replenishment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D2" i="4" l="1"/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" i="4"/>
  <c r="C3" i="3"/>
  <c r="H19" i="1" s="1"/>
  <c r="C4" i="3"/>
  <c r="H5" i="1" s="1"/>
  <c r="C5" i="3"/>
  <c r="H23" i="1" s="1"/>
  <c r="C6" i="3"/>
  <c r="H27" i="1" s="1"/>
  <c r="C7" i="3"/>
  <c r="H3" i="1" s="1"/>
  <c r="C8" i="3"/>
  <c r="H11" i="1" s="1"/>
  <c r="C9" i="3"/>
  <c r="H9" i="1" s="1"/>
  <c r="C10" i="3"/>
  <c r="H29" i="1" s="1"/>
  <c r="C11" i="3"/>
  <c r="C12" i="3"/>
  <c r="H36" i="1" s="1"/>
  <c r="C2" i="3"/>
  <c r="H15" i="1" s="1"/>
  <c r="H26" i="1" l="1"/>
  <c r="H24" i="1"/>
  <c r="H18" i="1"/>
  <c r="H16" i="1"/>
  <c r="H10" i="1"/>
  <c r="H25" i="1"/>
  <c r="H17" i="1"/>
  <c r="H8" i="1"/>
  <c r="H2" i="1"/>
  <c r="H31" i="1"/>
  <c r="H7" i="1"/>
  <c r="H38" i="1"/>
  <c r="H30" i="1"/>
  <c r="H22" i="1"/>
  <c r="H14" i="1"/>
  <c r="H6" i="1"/>
  <c r="H37" i="1"/>
  <c r="H21" i="1"/>
  <c r="H13" i="1"/>
  <c r="H28" i="1"/>
  <c r="H20" i="1"/>
  <c r="H12" i="1"/>
  <c r="H4" i="1"/>
  <c r="D21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G2" i="4"/>
  <c r="G36" i="1"/>
  <c r="J36" i="1" s="1"/>
  <c r="G37" i="1"/>
  <c r="J37" i="1" s="1"/>
  <c r="G38" i="1"/>
  <c r="J38" i="1" s="1"/>
  <c r="C36" i="1"/>
  <c r="C37" i="1"/>
  <c r="C38" i="1"/>
  <c r="G32" i="1"/>
  <c r="G33" i="1"/>
  <c r="J33" i="1" s="1"/>
  <c r="G34" i="1"/>
  <c r="J34" i="1" s="1"/>
  <c r="G35" i="1"/>
  <c r="J35" i="1" s="1"/>
  <c r="C32" i="1"/>
  <c r="C33" i="1"/>
  <c r="C34" i="1"/>
  <c r="C35" i="1"/>
  <c r="G29" i="1"/>
  <c r="J29" i="1" s="1"/>
  <c r="G30" i="1"/>
  <c r="G31" i="1"/>
  <c r="C29" i="1"/>
  <c r="C30" i="1"/>
  <c r="C31" i="1"/>
  <c r="G26" i="1"/>
  <c r="J26" i="1" s="1"/>
  <c r="G27" i="1"/>
  <c r="J27" i="1" s="1"/>
  <c r="G28" i="1"/>
  <c r="J28" i="1" s="1"/>
  <c r="C26" i="1"/>
  <c r="C27" i="1"/>
  <c r="C28" i="1"/>
  <c r="G23" i="1"/>
  <c r="J23" i="1" s="1"/>
  <c r="G24" i="1"/>
  <c r="J24" i="1" s="1"/>
  <c r="G25" i="1"/>
  <c r="J25" i="1" s="1"/>
  <c r="C23" i="1"/>
  <c r="C24" i="1"/>
  <c r="C25" i="1"/>
  <c r="G19" i="1"/>
  <c r="G20" i="1"/>
  <c r="J20" i="1" s="1"/>
  <c r="G21" i="1"/>
  <c r="J21" i="1" s="1"/>
  <c r="G22" i="1"/>
  <c r="J22" i="1" s="1"/>
  <c r="C19" i="1"/>
  <c r="C20" i="1"/>
  <c r="C21" i="1"/>
  <c r="C22" i="1"/>
  <c r="G3" i="1"/>
  <c r="J3" i="1" s="1"/>
  <c r="G4" i="1"/>
  <c r="J4" i="1" s="1"/>
  <c r="G5" i="1"/>
  <c r="J5" i="1" s="1"/>
  <c r="G6" i="1"/>
  <c r="J6" i="1" s="1"/>
  <c r="G7" i="1"/>
  <c r="J7" i="1" s="1"/>
  <c r="G8" i="1"/>
  <c r="J8" i="1" s="1"/>
  <c r="G9" i="1"/>
  <c r="J9" i="1" s="1"/>
  <c r="G10" i="1"/>
  <c r="J10" i="1" s="1"/>
  <c r="G11" i="1"/>
  <c r="G12" i="1"/>
  <c r="J12" i="1" s="1"/>
  <c r="G13" i="1"/>
  <c r="J13" i="1" s="1"/>
  <c r="G14" i="1"/>
  <c r="J14" i="1" s="1"/>
  <c r="G15" i="1"/>
  <c r="G16" i="1"/>
  <c r="J16" i="1" s="1"/>
  <c r="G17" i="1"/>
  <c r="J17" i="1" s="1"/>
  <c r="G18" i="1"/>
  <c r="J18" i="1" s="1"/>
  <c r="G2" i="1"/>
  <c r="C15" i="1"/>
  <c r="C16" i="1"/>
  <c r="C17" i="1"/>
  <c r="C18" i="1"/>
  <c r="C14" i="1"/>
  <c r="C3" i="1"/>
  <c r="C4" i="1"/>
  <c r="C5" i="1"/>
  <c r="C6" i="1"/>
  <c r="C7" i="1"/>
  <c r="C8" i="1"/>
  <c r="C9" i="1"/>
  <c r="C10" i="1"/>
  <c r="C11" i="1"/>
  <c r="C12" i="1"/>
  <c r="C13" i="1"/>
  <c r="C2" i="1"/>
  <c r="L17" i="1" l="1"/>
  <c r="J2" i="1"/>
  <c r="J19" i="1"/>
  <c r="N16" i="1"/>
  <c r="N15" i="1"/>
  <c r="J30" i="1"/>
  <c r="J31" i="1"/>
  <c r="N14" i="1"/>
  <c r="J32" i="1"/>
  <c r="J11" i="1"/>
  <c r="I2" i="4"/>
  <c r="J15" i="1"/>
  <c r="I17" i="4"/>
  <c r="I16" i="4"/>
  <c r="I8" i="4"/>
  <c r="I15" i="4"/>
  <c r="I7" i="4"/>
  <c r="I14" i="4"/>
  <c r="I6" i="4"/>
  <c r="I13" i="4"/>
  <c r="I5" i="4"/>
  <c r="I20" i="4"/>
  <c r="I12" i="4"/>
  <c r="I4" i="4"/>
  <c r="I19" i="4"/>
  <c r="I11" i="4"/>
  <c r="I3" i="4"/>
  <c r="I18" i="4"/>
  <c r="I10" i="4"/>
  <c r="I9" i="4"/>
  <c r="I21" i="4"/>
  <c r="G15" i="4"/>
  <c r="H15" i="4"/>
  <c r="G14" i="4"/>
  <c r="H14" i="4"/>
  <c r="G6" i="4"/>
  <c r="H6" i="4"/>
  <c r="G17" i="4"/>
  <c r="H17" i="4"/>
  <c r="G13" i="4"/>
  <c r="H13" i="4"/>
  <c r="G9" i="4"/>
  <c r="H9" i="4"/>
  <c r="G5" i="4"/>
  <c r="H5" i="4"/>
  <c r="G21" i="4"/>
  <c r="H21" i="4"/>
  <c r="G19" i="4"/>
  <c r="H19" i="4"/>
  <c r="G11" i="4"/>
  <c r="H11" i="4"/>
  <c r="G7" i="4"/>
  <c r="H7" i="4"/>
  <c r="G3" i="4"/>
  <c r="H3" i="4"/>
  <c r="G18" i="4"/>
  <c r="H18" i="4"/>
  <c r="G10" i="4"/>
  <c r="H10" i="4"/>
  <c r="G20" i="4"/>
  <c r="H20" i="4"/>
  <c r="G16" i="4"/>
  <c r="H16" i="4"/>
  <c r="G12" i="4"/>
  <c r="H12" i="4"/>
  <c r="G8" i="4"/>
  <c r="H8" i="4"/>
  <c r="G4" i="4"/>
  <c r="H4" i="4"/>
  <c r="H2" i="4"/>
  <c r="N17" i="1" l="1"/>
  <c r="J7" i="4"/>
  <c r="K7" i="4" s="1"/>
  <c r="J8" i="4"/>
  <c r="K8" i="4" s="1"/>
  <c r="J10" i="4"/>
  <c r="K10" i="4" s="1"/>
  <c r="J17" i="4"/>
  <c r="K17" i="4" s="1"/>
  <c r="J16" i="4"/>
  <c r="K16" i="4" s="1"/>
  <c r="J2" i="4"/>
  <c r="K2" i="4" s="1"/>
  <c r="J3" i="4"/>
  <c r="K3" i="4" s="1"/>
  <c r="J21" i="4"/>
  <c r="K21" i="4" s="1"/>
  <c r="J4" i="4"/>
  <c r="K4" i="4" s="1"/>
  <c r="J20" i="4"/>
  <c r="K20" i="4" s="1"/>
  <c r="J5" i="4"/>
  <c r="K5" i="4" s="1"/>
  <c r="J6" i="4"/>
  <c r="K6" i="4" s="1"/>
  <c r="J11" i="4"/>
  <c r="K11" i="4" s="1"/>
  <c r="J14" i="4"/>
  <c r="K14" i="4" s="1"/>
  <c r="J9" i="4"/>
  <c r="K9" i="4" s="1"/>
  <c r="J12" i="4"/>
  <c r="K12" i="4" s="1"/>
  <c r="J18" i="4"/>
  <c r="K18" i="4" s="1"/>
  <c r="J19" i="4"/>
  <c r="K19" i="4" s="1"/>
  <c r="J13" i="4"/>
  <c r="K13" i="4" s="1"/>
  <c r="J15" i="4"/>
  <c r="K15" i="4" s="1"/>
</calcChain>
</file>

<file path=xl/sharedStrings.xml><?xml version="1.0" encoding="utf-8"?>
<sst xmlns="http://schemas.openxmlformats.org/spreadsheetml/2006/main" count="247" uniqueCount="138">
  <si>
    <t>Category</t>
  </si>
  <si>
    <t>Color</t>
  </si>
  <si>
    <t>Price</t>
  </si>
  <si>
    <t>Object Code</t>
  </si>
  <si>
    <t>Lawn</t>
  </si>
  <si>
    <t>Gen Merch</t>
  </si>
  <si>
    <t>Produce</t>
  </si>
  <si>
    <t>Supplier</t>
  </si>
  <si>
    <t>Supplier Code</t>
  </si>
  <si>
    <t>Beauty</t>
  </si>
  <si>
    <t>Health</t>
  </si>
  <si>
    <t>Category Code</t>
  </si>
  <si>
    <t>AB01</t>
  </si>
  <si>
    <t>DR32</t>
  </si>
  <si>
    <t>LC12</t>
  </si>
  <si>
    <t>Beverage</t>
  </si>
  <si>
    <t>Dairy</t>
  </si>
  <si>
    <t>NW55</t>
  </si>
  <si>
    <t>JJ101</t>
  </si>
  <si>
    <t>EK42</t>
  </si>
  <si>
    <t>BC60</t>
  </si>
  <si>
    <t>SN340</t>
  </si>
  <si>
    <t>Date Received</t>
  </si>
  <si>
    <t>Super Savers</t>
  </si>
  <si>
    <t>World Foods</t>
  </si>
  <si>
    <t>Pigeon Brands</t>
  </si>
  <si>
    <t>Vanilla Vanilla Co</t>
  </si>
  <si>
    <t>Fruit of the Fruit Co</t>
  </si>
  <si>
    <t>Dale Fruit Co</t>
  </si>
  <si>
    <t>Item</t>
  </si>
  <si>
    <t>9874C</t>
  </si>
  <si>
    <t>1120E</t>
  </si>
  <si>
    <t>7861W</t>
  </si>
  <si>
    <t>2501V</t>
  </si>
  <si>
    <t>0054L</t>
  </si>
  <si>
    <t>2231H</t>
  </si>
  <si>
    <t>4478S</t>
  </si>
  <si>
    <t>3359A</t>
  </si>
  <si>
    <t>8849U</t>
  </si>
  <si>
    <t>3369Q</t>
  </si>
  <si>
    <t>4145G</t>
  </si>
  <si>
    <t>Dry Foods</t>
  </si>
  <si>
    <t>T-Shirt</t>
  </si>
  <si>
    <t>Black</t>
  </si>
  <si>
    <t>Underwear</t>
  </si>
  <si>
    <t>Red</t>
  </si>
  <si>
    <t>Socks</t>
  </si>
  <si>
    <t>Grey</t>
  </si>
  <si>
    <t>Face Wash</t>
  </si>
  <si>
    <t>Shampoo</t>
  </si>
  <si>
    <t>Conditioner</t>
  </si>
  <si>
    <t>Shave Cream</t>
  </si>
  <si>
    <t>White</t>
  </si>
  <si>
    <t>Blue</t>
  </si>
  <si>
    <t>Male Birth Control</t>
  </si>
  <si>
    <t>Family Planning Product</t>
  </si>
  <si>
    <t>Total Cost</t>
  </si>
  <si>
    <t>Enough Product?</t>
  </si>
  <si>
    <t>Clear</t>
  </si>
  <si>
    <t>Watermellon, Whole</t>
  </si>
  <si>
    <t>Pineapple, Slices</t>
  </si>
  <si>
    <t>Lemon, Whole</t>
  </si>
  <si>
    <t>Bananas, Whole</t>
  </si>
  <si>
    <t>Yellow</t>
  </si>
  <si>
    <t>Green</t>
  </si>
  <si>
    <t>Tool Set</t>
  </si>
  <si>
    <t>Hammer</t>
  </si>
  <si>
    <t>Wrench Set</t>
  </si>
  <si>
    <t>Allen Key Set</t>
  </si>
  <si>
    <t>Date Needed</t>
  </si>
  <si>
    <t>Noodles</t>
  </si>
  <si>
    <t>Crackers</t>
  </si>
  <si>
    <t>Cookies</t>
  </si>
  <si>
    <t>Potato Chips</t>
  </si>
  <si>
    <t>Brown</t>
  </si>
  <si>
    <t>Vanilla Soda</t>
  </si>
  <si>
    <t>Cream Soda</t>
  </si>
  <si>
    <t>Lemon Lime Vanilla Soda</t>
  </si>
  <si>
    <t>Weight*</t>
  </si>
  <si>
    <t>Quantity*</t>
  </si>
  <si>
    <t>Store Number*</t>
  </si>
  <si>
    <t>Ant Pesticide</t>
  </si>
  <si>
    <t>Tick Pesticide</t>
  </si>
  <si>
    <t>General Pesticide</t>
  </si>
  <si>
    <t>Romaine Lettuce</t>
  </si>
  <si>
    <t>Garden Fertilizer</t>
  </si>
  <si>
    <t>Garden Color Enhancer</t>
  </si>
  <si>
    <t>Seed Fertilizer</t>
  </si>
  <si>
    <t>AA12</t>
  </si>
  <si>
    <t>VC32</t>
  </si>
  <si>
    <t>TV05</t>
  </si>
  <si>
    <t>RF29</t>
  </si>
  <si>
    <t>MI19</t>
  </si>
  <si>
    <t>SZ47</t>
  </si>
  <si>
    <t>LP64</t>
  </si>
  <si>
    <t>CF82</t>
  </si>
  <si>
    <t>VF57</t>
  </si>
  <si>
    <t>MN08</t>
  </si>
  <si>
    <t>ET77</t>
  </si>
  <si>
    <t>DR91</t>
  </si>
  <si>
    <t>SU35</t>
  </si>
  <si>
    <t>VG66</t>
  </si>
  <si>
    <t>FV501</t>
  </si>
  <si>
    <t>NF40</t>
  </si>
  <si>
    <t>OI21</t>
  </si>
  <si>
    <t>AH38</t>
  </si>
  <si>
    <t>BR70</t>
  </si>
  <si>
    <t>UP15</t>
  </si>
  <si>
    <t>XE54</t>
  </si>
  <si>
    <t>GT60</t>
  </si>
  <si>
    <t>NQ12</t>
  </si>
  <si>
    <t>CG55</t>
  </si>
  <si>
    <t>HU82</t>
  </si>
  <si>
    <t>JR73</t>
  </si>
  <si>
    <t>VT82</t>
  </si>
  <si>
    <t>FR102</t>
  </si>
  <si>
    <t>BK47</t>
  </si>
  <si>
    <t>FG23</t>
  </si>
  <si>
    <t>NX89</t>
  </si>
  <si>
    <t>ZU31</t>
  </si>
  <si>
    <t>UR54</t>
  </si>
  <si>
    <t>BY58</t>
  </si>
  <si>
    <t>JE35</t>
  </si>
  <si>
    <t>MQ83</t>
  </si>
  <si>
    <t>CI03</t>
  </si>
  <si>
    <t>Amount Needed*</t>
  </si>
  <si>
    <t>Dual Lever Co</t>
  </si>
  <si>
    <t>Miracle Pest Solutions</t>
  </si>
  <si>
    <t>Johnsons</t>
  </si>
  <si>
    <t>Scotts-Green Garden</t>
  </si>
  <si>
    <t>High Value Order?</t>
  </si>
  <si>
    <t>Very Important Order?</t>
  </si>
  <si>
    <t>High Value Order Amount</t>
  </si>
  <si>
    <t>Value</t>
  </si>
  <si>
    <t>Marksman Commodities &amp; Dairy</t>
  </si>
  <si>
    <t>2% Milk</t>
  </si>
  <si>
    <t>Whole Milk</t>
  </si>
  <si>
    <t>Skim Milk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</si>
</sst>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9" fontId="0" fillId="0" borderId="0" xfId="0" applyNumberFormat="1"/>
    <xf numFmtId="14" fontId="0" fillId="0" borderId="0" xfId="0" applyNumberFormat="1"/>
    <xf numFmtId="164" fontId="0" fillId="0" borderId="0" xfId="0" applyNumberFormat="1"/>
    <xf numFmtId="2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164" fontId="1" fillId="0" borderId="2" xfId="0" applyNumberFormat="1" applyFont="1" applyBorder="1"/>
    <xf numFmtId="2" fontId="1" fillId="0" borderId="2" xfId="0" applyNumberFormat="1" applyFont="1" applyBorder="1"/>
    <xf numFmtId="164" fontId="1" fillId="0" borderId="3" xfId="0" applyNumberFormat="1" applyFont="1" applyBorder="1"/>
    <xf numFmtId="0" fontId="0" fillId="0" borderId="0" xfId="0" applyBorder="1"/>
    <xf numFmtId="4" fontId="0" fillId="0" borderId="0" xfId="0" applyNumberFormat="1"/>
    <xf numFmtId="164" fontId="1" fillId="0" borderId="4" xfId="0" applyNumberFormat="1" applyFont="1" applyFill="1" applyBorder="1"/>
    <xf numFmtId="0" fontId="1" fillId="0" borderId="3" xfId="0" applyFont="1" applyFill="1" applyBorder="1"/>
    <xf numFmtId="0" fontId="1" fillId="0" borderId="4" xfId="0" applyFont="1" applyBorder="1"/>
    <xf numFmtId="164" fontId="1" fillId="0" borderId="4" xfId="0" applyNumberFormat="1" applyFont="1" applyBorder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1</xdr:row>
          <xdr:rowOff>0</xdr:rowOff>
        </xdr:from>
        <xdr:to>
          <xdr:col>13</xdr:col>
          <xdr:colOff>257175</xdr:colOff>
          <xdr:row>9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6329608A-5E69-4F51-A827-BE120C352C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142875</xdr:rowOff>
        </xdr:from>
        <xdr:to>
          <xdr:col>14</xdr:col>
          <xdr:colOff>219075</xdr:colOff>
          <xdr:row>8</xdr:row>
          <xdr:rowOff>114300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3EEB7-4F0A-4E89-AF24-5A8773BF1B8D}">
  <sheetPr codeName="Sheet2"/>
  <dimension ref="A1:N38"/>
  <sheetViews>
    <sheetView tabSelected="1" workbookViewId="0">
      <selection activeCell="L18" sqref="L18"/>
    </sheetView>
  </sheetViews>
  <sheetFormatPr defaultRowHeight="15" x14ac:dyDescent="0.25"/>
  <cols>
    <col min="1" max="1" width="11.85546875" bestFit="1" customWidth="1"/>
    <col min="3" max="3" width="8.42578125" bestFit="1" customWidth="1"/>
    <col min="4" max="4" width="9.140625" style="3"/>
    <col min="5" max="5" width="13.28515625" customWidth="1"/>
    <col min="6" max="6" width="13.85546875" bestFit="1" customWidth="1"/>
    <col min="7" max="7" width="9.7109375" bestFit="1" customWidth="1"/>
    <col min="8" max="8" width="10.5703125" bestFit="1" customWidth="1"/>
    <col min="9" max="9" width="22.7109375" bestFit="1" customWidth="1"/>
    <col min="10" max="10" width="10.140625" bestFit="1" customWidth="1"/>
    <col min="12" max="12" width="13.140625" bestFit="1" customWidth="1"/>
    <col min="13" max="13" width="13.28515625" bestFit="1" customWidth="1"/>
    <col min="14" max="14" width="16.42578125" bestFit="1" customWidth="1"/>
    <col min="15" max="15" width="15.28515625" bestFit="1" customWidth="1"/>
    <col min="18" max="18" width="13.140625" bestFit="1" customWidth="1"/>
    <col min="19" max="19" width="13.85546875" bestFit="1" customWidth="1"/>
  </cols>
  <sheetData>
    <row r="1" spans="1:14" ht="15.75" thickBot="1" x14ac:dyDescent="0.3">
      <c r="A1" s="6" t="s">
        <v>3</v>
      </c>
      <c r="B1" s="15" t="s">
        <v>1</v>
      </c>
      <c r="C1" s="15" t="s">
        <v>78</v>
      </c>
      <c r="D1" s="16" t="s">
        <v>2</v>
      </c>
      <c r="E1" s="15" t="s">
        <v>8</v>
      </c>
      <c r="F1" s="15" t="s">
        <v>22</v>
      </c>
      <c r="G1" s="15" t="s">
        <v>79</v>
      </c>
      <c r="H1" s="15" t="s">
        <v>0</v>
      </c>
      <c r="I1" s="15" t="s">
        <v>29</v>
      </c>
      <c r="J1" s="14" t="s">
        <v>133</v>
      </c>
    </row>
    <row r="2" spans="1:14" x14ac:dyDescent="0.25">
      <c r="A2" t="s">
        <v>88</v>
      </c>
      <c r="B2" t="s">
        <v>43</v>
      </c>
      <c r="C2">
        <f ca="1">RANDBETWEEN(1,10)</f>
        <v>9</v>
      </c>
      <c r="D2" s="3">
        <v>5.99</v>
      </c>
      <c r="E2" t="s">
        <v>35</v>
      </c>
      <c r="F2" s="2">
        <v>40198</v>
      </c>
      <c r="G2">
        <f ca="1">RANDBETWEEN(40,500)</f>
        <v>317</v>
      </c>
      <c r="H2" t="str">
        <f>VLOOKUP(E2,Suppliers!$A$2:$C$12,3,FALSE)</f>
        <v>Gen Merch</v>
      </c>
      <c r="I2" t="s">
        <v>42</v>
      </c>
      <c r="J2" s="3">
        <f ca="1">G2*D2</f>
        <v>1898.8300000000002</v>
      </c>
    </row>
    <row r="3" spans="1:14" x14ac:dyDescent="0.25">
      <c r="A3" t="s">
        <v>89</v>
      </c>
      <c r="B3" t="s">
        <v>45</v>
      </c>
      <c r="C3">
        <f t="shared" ref="C3:C38" ca="1" si="0">RANDBETWEEN(1,10)</f>
        <v>3</v>
      </c>
      <c r="D3" s="3">
        <v>7.99</v>
      </c>
      <c r="E3" t="s">
        <v>35</v>
      </c>
      <c r="F3" s="2">
        <v>40184</v>
      </c>
      <c r="G3">
        <f t="shared" ref="G3:G38" ca="1" si="1">RANDBETWEEN(40,500)</f>
        <v>361</v>
      </c>
      <c r="H3" t="str">
        <f>VLOOKUP(E3,Suppliers!$A$2:$C$12,3,FALSE)</f>
        <v>Gen Merch</v>
      </c>
      <c r="I3" t="s">
        <v>44</v>
      </c>
      <c r="J3" s="3">
        <f t="shared" ref="J3:J38" ca="1" si="2">G3*D3</f>
        <v>2884.39</v>
      </c>
    </row>
    <row r="4" spans="1:14" x14ac:dyDescent="0.25">
      <c r="A4" t="s">
        <v>90</v>
      </c>
      <c r="B4" t="s">
        <v>47</v>
      </c>
      <c r="C4">
        <f t="shared" ca="1" si="0"/>
        <v>2</v>
      </c>
      <c r="D4" s="3">
        <v>4.95</v>
      </c>
      <c r="E4" t="s">
        <v>35</v>
      </c>
      <c r="F4" s="2">
        <v>40193</v>
      </c>
      <c r="G4">
        <f t="shared" ca="1" si="1"/>
        <v>403</v>
      </c>
      <c r="H4" t="str">
        <f>VLOOKUP(E4,Suppliers!$A$2:$C$12,3,FALSE)</f>
        <v>Gen Merch</v>
      </c>
      <c r="I4" t="s">
        <v>46</v>
      </c>
      <c r="J4" s="3">
        <f t="shared" ca="1" si="2"/>
        <v>1994.8500000000001</v>
      </c>
    </row>
    <row r="5" spans="1:14" x14ac:dyDescent="0.25">
      <c r="A5" t="s">
        <v>91</v>
      </c>
      <c r="B5" t="s">
        <v>52</v>
      </c>
      <c r="C5">
        <f t="shared" ca="1" si="0"/>
        <v>2</v>
      </c>
      <c r="D5" s="3">
        <v>2.99</v>
      </c>
      <c r="E5" t="s">
        <v>31</v>
      </c>
      <c r="F5" s="2">
        <v>40184</v>
      </c>
      <c r="G5">
        <f t="shared" ca="1" si="1"/>
        <v>177</v>
      </c>
      <c r="H5" t="str">
        <f>VLOOKUP(E5,Suppliers!$A$2:$C$12,3,FALSE)</f>
        <v>Beauty</v>
      </c>
      <c r="I5" t="s">
        <v>48</v>
      </c>
      <c r="J5" s="3">
        <f t="shared" ca="1" si="2"/>
        <v>529.23</v>
      </c>
    </row>
    <row r="6" spans="1:14" x14ac:dyDescent="0.25">
      <c r="A6" t="s">
        <v>92</v>
      </c>
      <c r="B6" t="s">
        <v>53</v>
      </c>
      <c r="C6">
        <f t="shared" ca="1" si="0"/>
        <v>9</v>
      </c>
      <c r="D6" s="3">
        <v>3.99</v>
      </c>
      <c r="E6" t="s">
        <v>31</v>
      </c>
      <c r="F6" s="2">
        <v>40189</v>
      </c>
      <c r="G6">
        <f t="shared" ca="1" si="1"/>
        <v>414</v>
      </c>
      <c r="H6" t="str">
        <f>VLOOKUP(E6,Suppliers!$A$2:$C$12,3,FALSE)</f>
        <v>Beauty</v>
      </c>
      <c r="I6" t="s">
        <v>49</v>
      </c>
      <c r="J6" s="3">
        <f t="shared" ca="1" si="2"/>
        <v>1651.8600000000001</v>
      </c>
    </row>
    <row r="7" spans="1:14" x14ac:dyDescent="0.25">
      <c r="A7" t="s">
        <v>93</v>
      </c>
      <c r="B7" t="s">
        <v>52</v>
      </c>
      <c r="C7">
        <f t="shared" ca="1" si="0"/>
        <v>3</v>
      </c>
      <c r="D7" s="3">
        <v>2.99</v>
      </c>
      <c r="E7" t="s">
        <v>31</v>
      </c>
      <c r="F7" s="2">
        <v>40199</v>
      </c>
      <c r="G7">
        <f t="shared" ca="1" si="1"/>
        <v>139</v>
      </c>
      <c r="H7" t="str">
        <f>VLOOKUP(E7,Suppliers!$A$2:$C$12,3,FALSE)</f>
        <v>Beauty</v>
      </c>
      <c r="I7" t="s">
        <v>50</v>
      </c>
      <c r="J7" s="3">
        <f t="shared" ca="1" si="2"/>
        <v>415.61</v>
      </c>
    </row>
    <row r="8" spans="1:14" x14ac:dyDescent="0.25">
      <c r="A8" t="s">
        <v>94</v>
      </c>
      <c r="B8" t="s">
        <v>53</v>
      </c>
      <c r="C8">
        <f t="shared" ca="1" si="0"/>
        <v>7</v>
      </c>
      <c r="D8" s="3">
        <v>2.99</v>
      </c>
      <c r="E8" t="s">
        <v>31</v>
      </c>
      <c r="F8" s="2">
        <v>40191</v>
      </c>
      <c r="G8">
        <f t="shared" ca="1" si="1"/>
        <v>216</v>
      </c>
      <c r="H8" t="str">
        <f>VLOOKUP(E8,Suppliers!$A$2:$C$12,3,FALSE)</f>
        <v>Beauty</v>
      </c>
      <c r="I8" t="s">
        <v>51</v>
      </c>
      <c r="J8" s="3">
        <f t="shared" ca="1" si="2"/>
        <v>645.84</v>
      </c>
    </row>
    <row r="9" spans="1:14" x14ac:dyDescent="0.25">
      <c r="A9" t="s">
        <v>95</v>
      </c>
      <c r="B9" t="s">
        <v>58</v>
      </c>
      <c r="C9">
        <f t="shared" ca="1" si="0"/>
        <v>7</v>
      </c>
      <c r="D9" s="3">
        <v>10.99</v>
      </c>
      <c r="E9" t="s">
        <v>37</v>
      </c>
      <c r="F9" s="2">
        <v>40208</v>
      </c>
      <c r="G9">
        <f t="shared" ca="1" si="1"/>
        <v>382</v>
      </c>
      <c r="H9" t="str">
        <f>VLOOKUP(E9,Suppliers!$A$2:$C$12,3,FALSE)</f>
        <v>Health</v>
      </c>
      <c r="I9" t="s">
        <v>54</v>
      </c>
      <c r="J9" s="3">
        <f t="shared" ca="1" si="2"/>
        <v>4198.18</v>
      </c>
    </row>
    <row r="10" spans="1:14" x14ac:dyDescent="0.25">
      <c r="A10" t="s">
        <v>96</v>
      </c>
      <c r="B10" t="s">
        <v>58</v>
      </c>
      <c r="C10">
        <f t="shared" ca="1" si="0"/>
        <v>7</v>
      </c>
      <c r="D10" s="3">
        <v>12.99</v>
      </c>
      <c r="E10" t="s">
        <v>37</v>
      </c>
      <c r="F10" s="2">
        <v>40183</v>
      </c>
      <c r="G10">
        <f t="shared" ca="1" si="1"/>
        <v>499</v>
      </c>
      <c r="H10" t="str">
        <f>VLOOKUP(E10,Suppliers!$A$2:$C$12,3,FALSE)</f>
        <v>Health</v>
      </c>
      <c r="I10" t="s">
        <v>55</v>
      </c>
      <c r="J10" s="3">
        <f t="shared" ca="1" si="2"/>
        <v>6482.01</v>
      </c>
    </row>
    <row r="11" spans="1:14" x14ac:dyDescent="0.25">
      <c r="A11" t="s">
        <v>97</v>
      </c>
      <c r="B11" t="s">
        <v>63</v>
      </c>
      <c r="C11">
        <f t="shared" ca="1" si="0"/>
        <v>8</v>
      </c>
      <c r="D11" s="3">
        <v>2.99</v>
      </c>
      <c r="E11" t="s">
        <v>36</v>
      </c>
      <c r="F11" s="2">
        <v>40187</v>
      </c>
      <c r="G11">
        <f t="shared" ca="1" si="1"/>
        <v>149</v>
      </c>
      <c r="H11" t="str">
        <f>VLOOKUP(E11,Suppliers!$A$2:$C$12,3,FALSE)</f>
        <v>Produce</v>
      </c>
      <c r="I11" t="s">
        <v>61</v>
      </c>
      <c r="J11" s="3">
        <f t="shared" ca="1" si="2"/>
        <v>445.51000000000005</v>
      </c>
    </row>
    <row r="12" spans="1:14" x14ac:dyDescent="0.25">
      <c r="A12" t="s">
        <v>98</v>
      </c>
      <c r="B12" t="s">
        <v>64</v>
      </c>
      <c r="C12">
        <f t="shared" ca="1" si="0"/>
        <v>1</v>
      </c>
      <c r="D12" s="3">
        <v>1.99</v>
      </c>
      <c r="E12" t="s">
        <v>36</v>
      </c>
      <c r="F12" s="2">
        <v>40193</v>
      </c>
      <c r="G12">
        <f t="shared" ca="1" si="1"/>
        <v>104</v>
      </c>
      <c r="H12" t="str">
        <f>VLOOKUP(E12,Suppliers!$A$2:$C$12,3,FALSE)</f>
        <v>Produce</v>
      </c>
      <c r="I12" t="s">
        <v>59</v>
      </c>
      <c r="J12" s="3">
        <f t="shared" ca="1" si="2"/>
        <v>206.96</v>
      </c>
    </row>
    <row r="13" spans="1:14" x14ac:dyDescent="0.25">
      <c r="A13" t="s">
        <v>99</v>
      </c>
      <c r="B13" t="s">
        <v>63</v>
      </c>
      <c r="C13">
        <f t="shared" ca="1" si="0"/>
        <v>3</v>
      </c>
      <c r="D13" s="3">
        <v>6.89</v>
      </c>
      <c r="E13" t="s">
        <v>36</v>
      </c>
      <c r="F13" s="2">
        <v>40183</v>
      </c>
      <c r="G13">
        <f t="shared" ca="1" si="1"/>
        <v>297</v>
      </c>
      <c r="H13" t="str">
        <f>VLOOKUP(E13,Suppliers!$A$2:$C$12,3,FALSE)</f>
        <v>Produce</v>
      </c>
      <c r="I13" t="s">
        <v>60</v>
      </c>
      <c r="J13" s="3">
        <f t="shared" ca="1" si="2"/>
        <v>2046.33</v>
      </c>
    </row>
    <row r="14" spans="1:14" x14ac:dyDescent="0.25">
      <c r="A14" t="s">
        <v>100</v>
      </c>
      <c r="B14" t="s">
        <v>63</v>
      </c>
      <c r="C14">
        <f t="shared" ca="1" si="0"/>
        <v>2</v>
      </c>
      <c r="D14" s="3">
        <v>0.99</v>
      </c>
      <c r="E14" t="s">
        <v>36</v>
      </c>
      <c r="F14" s="2">
        <v>40185</v>
      </c>
      <c r="G14">
        <f t="shared" ca="1" si="1"/>
        <v>209</v>
      </c>
      <c r="H14" t="str">
        <f>VLOOKUP(E14,Suppliers!$A$2:$C$12,3,FALSE)</f>
        <v>Produce</v>
      </c>
      <c r="I14" t="s">
        <v>62</v>
      </c>
      <c r="J14" s="3">
        <f t="shared" ca="1" si="2"/>
        <v>206.91</v>
      </c>
      <c r="N14">
        <f ca="1">SUMIFS(G2:G38,H2:H38, "Produce")</f>
        <v>759</v>
      </c>
    </row>
    <row r="15" spans="1:14" x14ac:dyDescent="0.25">
      <c r="A15" t="s">
        <v>101</v>
      </c>
      <c r="B15" t="s">
        <v>47</v>
      </c>
      <c r="C15">
        <f t="shared" ca="1" si="0"/>
        <v>4</v>
      </c>
      <c r="D15" s="3">
        <v>25.78</v>
      </c>
      <c r="E15" t="s">
        <v>33</v>
      </c>
      <c r="F15" s="2">
        <v>40182</v>
      </c>
      <c r="G15">
        <f t="shared" ca="1" si="1"/>
        <v>196</v>
      </c>
      <c r="H15" t="str">
        <f>VLOOKUP(E15,Suppliers!$A$2:$C$12,3,FALSE)</f>
        <v>Gen Merch</v>
      </c>
      <c r="I15" t="s">
        <v>65</v>
      </c>
      <c r="J15" s="3">
        <f t="shared" ca="1" si="2"/>
        <v>5052.88</v>
      </c>
      <c r="N15">
        <f ca="1">SUMIFS(G2:G38,H2:H38, "Dairy")</f>
        <v>651</v>
      </c>
    </row>
    <row r="16" spans="1:14" x14ac:dyDescent="0.25">
      <c r="A16" t="s">
        <v>102</v>
      </c>
      <c r="B16" t="s">
        <v>43</v>
      </c>
      <c r="C16">
        <f t="shared" ca="1" si="0"/>
        <v>6</v>
      </c>
      <c r="D16" s="3">
        <v>9.99</v>
      </c>
      <c r="E16" t="s">
        <v>33</v>
      </c>
      <c r="F16" s="2">
        <v>40202</v>
      </c>
      <c r="G16">
        <f t="shared" ca="1" si="1"/>
        <v>109</v>
      </c>
      <c r="H16" t="str">
        <f>VLOOKUP(E16,Suppliers!$A$2:$C$12,3,FALSE)</f>
        <v>Gen Merch</v>
      </c>
      <c r="I16" t="s">
        <v>66</v>
      </c>
      <c r="J16" s="3">
        <f t="shared" ca="1" si="2"/>
        <v>1088.9100000000001</v>
      </c>
      <c r="N16">
        <f ca="1">SUMIFS(G2:G38,H2:H38, "Dry Foods")</f>
        <v>1213</v>
      </c>
    </row>
    <row r="17" spans="1:14" x14ac:dyDescent="0.25">
      <c r="A17" t="s">
        <v>103</v>
      </c>
      <c r="B17" t="s">
        <v>47</v>
      </c>
      <c r="C17">
        <f t="shared" ca="1" si="0"/>
        <v>5</v>
      </c>
      <c r="D17" s="3">
        <v>15.58</v>
      </c>
      <c r="E17" t="s">
        <v>33</v>
      </c>
      <c r="F17" s="2">
        <v>40197</v>
      </c>
      <c r="G17">
        <f t="shared" ca="1" si="1"/>
        <v>466</v>
      </c>
      <c r="H17" t="str">
        <f>VLOOKUP(E17,Suppliers!$A$2:$C$12,3,FALSE)</f>
        <v>Gen Merch</v>
      </c>
      <c r="I17" t="s">
        <v>67</v>
      </c>
      <c r="J17" s="3">
        <f t="shared" ca="1" si="2"/>
        <v>7260.28</v>
      </c>
      <c r="L17">
        <f ca="1">(SUM(Replenishment!D2:D21))/SUM(G2:G38)</f>
        <v>0.21287653797199829</v>
      </c>
      <c r="N17">
        <f ca="1">SUM(N14:N16)</f>
        <v>2623</v>
      </c>
    </row>
    <row r="18" spans="1:14" x14ac:dyDescent="0.25">
      <c r="A18" t="s">
        <v>104</v>
      </c>
      <c r="B18" t="s">
        <v>63</v>
      </c>
      <c r="C18">
        <f t="shared" ca="1" si="0"/>
        <v>10</v>
      </c>
      <c r="D18" s="3">
        <v>24.59</v>
      </c>
      <c r="E18" t="s">
        <v>33</v>
      </c>
      <c r="F18" s="2">
        <v>40194</v>
      </c>
      <c r="G18">
        <f t="shared" ca="1" si="1"/>
        <v>461</v>
      </c>
      <c r="H18" t="str">
        <f>VLOOKUP(E18,Suppliers!$A$2:$C$12,3,FALSE)</f>
        <v>Gen Merch</v>
      </c>
      <c r="I18" t="s">
        <v>68</v>
      </c>
      <c r="J18" s="3">
        <f t="shared" ca="1" si="2"/>
        <v>11335.99</v>
      </c>
    </row>
    <row r="19" spans="1:14" x14ac:dyDescent="0.25">
      <c r="A19" t="s">
        <v>105</v>
      </c>
      <c r="B19" t="s">
        <v>63</v>
      </c>
      <c r="C19">
        <f t="shared" ca="1" si="0"/>
        <v>4</v>
      </c>
      <c r="D19" s="3">
        <v>0.99</v>
      </c>
      <c r="E19" t="s">
        <v>32</v>
      </c>
      <c r="F19" s="2">
        <v>40179</v>
      </c>
      <c r="G19">
        <f t="shared" ca="1" si="1"/>
        <v>431</v>
      </c>
      <c r="H19" t="str">
        <f>VLOOKUP(E19,Suppliers!$A$2:$C$12,3,FALSE)</f>
        <v>Dry Foods</v>
      </c>
      <c r="I19" t="s">
        <v>70</v>
      </c>
      <c r="J19" s="3">
        <f t="shared" ca="1" si="2"/>
        <v>426.69</v>
      </c>
    </row>
    <row r="20" spans="1:14" x14ac:dyDescent="0.25">
      <c r="A20" t="s">
        <v>106</v>
      </c>
      <c r="B20" t="s">
        <v>74</v>
      </c>
      <c r="C20">
        <f t="shared" ca="1" si="0"/>
        <v>10</v>
      </c>
      <c r="D20" s="3">
        <v>0.99</v>
      </c>
      <c r="E20" t="s">
        <v>32</v>
      </c>
      <c r="F20" s="2">
        <v>40185</v>
      </c>
      <c r="G20">
        <f t="shared" ca="1" si="1"/>
        <v>73</v>
      </c>
      <c r="H20" t="str">
        <f>VLOOKUP(E20,Suppliers!$A$2:$C$12,3,FALSE)</f>
        <v>Dry Foods</v>
      </c>
      <c r="I20" t="s">
        <v>71</v>
      </c>
      <c r="J20" s="3">
        <f t="shared" ca="1" si="2"/>
        <v>72.27</v>
      </c>
    </row>
    <row r="21" spans="1:14" x14ac:dyDescent="0.25">
      <c r="A21" t="s">
        <v>107</v>
      </c>
      <c r="B21" t="s">
        <v>74</v>
      </c>
      <c r="C21">
        <f t="shared" ca="1" si="0"/>
        <v>10</v>
      </c>
      <c r="D21" s="3">
        <v>0.99</v>
      </c>
      <c r="E21" t="s">
        <v>32</v>
      </c>
      <c r="F21" s="2">
        <v>40196</v>
      </c>
      <c r="G21">
        <f t="shared" ca="1" si="1"/>
        <v>264</v>
      </c>
      <c r="H21" t="str">
        <f>VLOOKUP(E21,Suppliers!$A$2:$C$12,3,FALSE)</f>
        <v>Dry Foods</v>
      </c>
      <c r="I21" t="s">
        <v>72</v>
      </c>
      <c r="J21" s="3">
        <f t="shared" ca="1" si="2"/>
        <v>261.36</v>
      </c>
    </row>
    <row r="22" spans="1:14" x14ac:dyDescent="0.25">
      <c r="A22" t="s">
        <v>108</v>
      </c>
      <c r="B22" t="s">
        <v>63</v>
      </c>
      <c r="C22">
        <f t="shared" ca="1" si="0"/>
        <v>7</v>
      </c>
      <c r="D22" s="3">
        <v>0.99</v>
      </c>
      <c r="E22" t="s">
        <v>32</v>
      </c>
      <c r="F22" s="2">
        <v>40188</v>
      </c>
      <c r="G22">
        <f t="shared" ca="1" si="1"/>
        <v>445</v>
      </c>
      <c r="H22" t="str">
        <f>VLOOKUP(E22,Suppliers!$A$2:$C$12,3,FALSE)</f>
        <v>Dry Foods</v>
      </c>
      <c r="I22" t="s">
        <v>73</v>
      </c>
      <c r="J22" s="3">
        <f t="shared" ca="1" si="2"/>
        <v>440.55</v>
      </c>
    </row>
    <row r="23" spans="1:14" x14ac:dyDescent="0.25">
      <c r="A23" t="s">
        <v>109</v>
      </c>
      <c r="B23" t="s">
        <v>45</v>
      </c>
      <c r="C23">
        <f t="shared" ca="1" si="0"/>
        <v>2</v>
      </c>
      <c r="D23" s="3">
        <v>6.99</v>
      </c>
      <c r="E23" t="s">
        <v>30</v>
      </c>
      <c r="F23" s="2">
        <v>40201</v>
      </c>
      <c r="G23">
        <f t="shared" ca="1" si="1"/>
        <v>261</v>
      </c>
      <c r="H23" t="str">
        <f>VLOOKUP(E23,Suppliers!$A$2:$C$12,3,FALSE)</f>
        <v>Beauty</v>
      </c>
      <c r="I23" t="s">
        <v>49</v>
      </c>
      <c r="J23" s="3">
        <f t="shared" ca="1" si="2"/>
        <v>1824.39</v>
      </c>
    </row>
    <row r="24" spans="1:14" x14ac:dyDescent="0.25">
      <c r="A24" t="s">
        <v>110</v>
      </c>
      <c r="B24" t="s">
        <v>43</v>
      </c>
      <c r="C24">
        <f t="shared" ca="1" si="0"/>
        <v>3</v>
      </c>
      <c r="D24" s="3">
        <v>6.99</v>
      </c>
      <c r="E24" t="s">
        <v>30</v>
      </c>
      <c r="F24" s="2">
        <v>40186</v>
      </c>
      <c r="G24">
        <f t="shared" ca="1" si="1"/>
        <v>452</v>
      </c>
      <c r="H24" t="str">
        <f>VLOOKUP(E24,Suppliers!$A$2:$C$12,3,FALSE)</f>
        <v>Beauty</v>
      </c>
      <c r="I24" t="s">
        <v>51</v>
      </c>
      <c r="J24" s="3">
        <f t="shared" ca="1" si="2"/>
        <v>3159.48</v>
      </c>
    </row>
    <row r="25" spans="1:14" x14ac:dyDescent="0.25">
      <c r="A25" t="s">
        <v>111</v>
      </c>
      <c r="B25" t="s">
        <v>52</v>
      </c>
      <c r="C25">
        <f t="shared" ca="1" si="0"/>
        <v>10</v>
      </c>
      <c r="D25" s="3">
        <v>6.99</v>
      </c>
      <c r="E25" t="s">
        <v>30</v>
      </c>
      <c r="F25" s="2">
        <v>40190</v>
      </c>
      <c r="G25">
        <f t="shared" ca="1" si="1"/>
        <v>63</v>
      </c>
      <c r="H25" t="str">
        <f>VLOOKUP(E25,Suppliers!$A$2:$C$12,3,FALSE)</f>
        <v>Beauty</v>
      </c>
      <c r="I25" t="s">
        <v>50</v>
      </c>
      <c r="J25" s="3">
        <f t="shared" ca="1" si="2"/>
        <v>440.37</v>
      </c>
    </row>
    <row r="26" spans="1:14" x14ac:dyDescent="0.25">
      <c r="A26" t="s">
        <v>112</v>
      </c>
      <c r="B26" t="s">
        <v>52</v>
      </c>
      <c r="C26">
        <f t="shared" ca="1" si="0"/>
        <v>2</v>
      </c>
      <c r="D26" s="3">
        <v>2.99</v>
      </c>
      <c r="E26" t="s">
        <v>34</v>
      </c>
      <c r="F26" s="2">
        <v>40181</v>
      </c>
      <c r="G26">
        <f t="shared" ca="1" si="1"/>
        <v>168</v>
      </c>
      <c r="H26" t="str">
        <f>VLOOKUP(E26,Suppliers!$A$2:$C$12,3,FALSE)</f>
        <v>Beverage</v>
      </c>
      <c r="I26" t="s">
        <v>75</v>
      </c>
      <c r="J26" s="3">
        <f t="shared" ca="1" si="2"/>
        <v>502.32000000000005</v>
      </c>
    </row>
    <row r="27" spans="1:14" x14ac:dyDescent="0.25">
      <c r="A27" t="s">
        <v>113</v>
      </c>
      <c r="B27" t="s">
        <v>52</v>
      </c>
      <c r="C27">
        <f t="shared" ca="1" si="0"/>
        <v>8</v>
      </c>
      <c r="D27" s="3">
        <v>2.99</v>
      </c>
      <c r="E27" t="s">
        <v>34</v>
      </c>
      <c r="F27" s="2">
        <v>40184</v>
      </c>
      <c r="G27">
        <f t="shared" ca="1" si="1"/>
        <v>84</v>
      </c>
      <c r="H27" t="str">
        <f>VLOOKUP(E27,Suppliers!$A$2:$C$12,3,FALSE)</f>
        <v>Beverage</v>
      </c>
      <c r="I27" t="s">
        <v>76</v>
      </c>
      <c r="J27" s="3">
        <f t="shared" ca="1" si="2"/>
        <v>251.16000000000003</v>
      </c>
    </row>
    <row r="28" spans="1:14" x14ac:dyDescent="0.25">
      <c r="A28" t="s">
        <v>114</v>
      </c>
      <c r="B28" t="s">
        <v>64</v>
      </c>
      <c r="C28">
        <f t="shared" ca="1" si="0"/>
        <v>3</v>
      </c>
      <c r="D28" s="3">
        <v>2.99</v>
      </c>
      <c r="E28" t="s">
        <v>34</v>
      </c>
      <c r="F28" s="2">
        <v>40187</v>
      </c>
      <c r="G28">
        <f t="shared" ca="1" si="1"/>
        <v>148</v>
      </c>
      <c r="H28" t="str">
        <f>VLOOKUP(E28,Suppliers!$A$2:$C$12,3,FALSE)</f>
        <v>Beverage</v>
      </c>
      <c r="I28" t="s">
        <v>77</v>
      </c>
      <c r="J28" s="3">
        <f t="shared" ca="1" si="2"/>
        <v>442.52000000000004</v>
      </c>
    </row>
    <row r="29" spans="1:14" x14ac:dyDescent="0.25">
      <c r="A29" t="s">
        <v>115</v>
      </c>
      <c r="B29" t="s">
        <v>64</v>
      </c>
      <c r="C29">
        <f t="shared" ca="1" si="0"/>
        <v>3</v>
      </c>
      <c r="D29" s="3">
        <v>50.99</v>
      </c>
      <c r="E29" t="s">
        <v>38</v>
      </c>
      <c r="F29" s="2">
        <v>40193</v>
      </c>
      <c r="G29">
        <f t="shared" ca="1" si="1"/>
        <v>308</v>
      </c>
      <c r="H29" t="str">
        <f>VLOOKUP(E29,Suppliers!$A$2:$C$12,3,FALSE)</f>
        <v>Lawn</v>
      </c>
      <c r="I29" t="s">
        <v>81</v>
      </c>
      <c r="J29" s="3">
        <f t="shared" ca="1" si="2"/>
        <v>15704.92</v>
      </c>
    </row>
    <row r="30" spans="1:14" x14ac:dyDescent="0.25">
      <c r="A30" t="s">
        <v>116</v>
      </c>
      <c r="B30" t="s">
        <v>64</v>
      </c>
      <c r="C30">
        <f t="shared" ca="1" si="0"/>
        <v>5</v>
      </c>
      <c r="D30" s="3">
        <v>50.99</v>
      </c>
      <c r="E30" t="s">
        <v>38</v>
      </c>
      <c r="F30" s="2">
        <v>40191</v>
      </c>
      <c r="G30">
        <f t="shared" ca="1" si="1"/>
        <v>45</v>
      </c>
      <c r="H30" t="str">
        <f>VLOOKUP(E30,Suppliers!$A$2:$C$12,3,FALSE)</f>
        <v>Lawn</v>
      </c>
      <c r="I30" t="s">
        <v>82</v>
      </c>
      <c r="J30" s="3">
        <f t="shared" ca="1" si="2"/>
        <v>2294.5500000000002</v>
      </c>
    </row>
    <row r="31" spans="1:14" x14ac:dyDescent="0.25">
      <c r="A31" t="s">
        <v>117</v>
      </c>
      <c r="B31" t="s">
        <v>64</v>
      </c>
      <c r="C31">
        <f t="shared" ca="1" si="0"/>
        <v>5</v>
      </c>
      <c r="D31" s="3">
        <v>50.99</v>
      </c>
      <c r="E31" t="s">
        <v>38</v>
      </c>
      <c r="F31" s="2">
        <v>40182</v>
      </c>
      <c r="G31">
        <f t="shared" ca="1" si="1"/>
        <v>154</v>
      </c>
      <c r="H31" t="str">
        <f>VLOOKUP(E31,Suppliers!$A$2:$C$12,3,FALSE)</f>
        <v>Lawn</v>
      </c>
      <c r="I31" t="s">
        <v>83</v>
      </c>
      <c r="J31" s="3">
        <f t="shared" ca="1" si="2"/>
        <v>7852.46</v>
      </c>
    </row>
    <row r="32" spans="1:14" x14ac:dyDescent="0.25">
      <c r="A32" t="s">
        <v>118</v>
      </c>
      <c r="B32" t="s">
        <v>52</v>
      </c>
      <c r="C32">
        <f t="shared" ca="1" si="0"/>
        <v>7</v>
      </c>
      <c r="D32" s="3">
        <v>3.99</v>
      </c>
      <c r="E32" t="s">
        <v>39</v>
      </c>
      <c r="F32" s="2">
        <v>40194</v>
      </c>
      <c r="G32">
        <f t="shared" ca="1" si="1"/>
        <v>168</v>
      </c>
      <c r="H32" t="s">
        <v>16</v>
      </c>
      <c r="I32" t="s">
        <v>135</v>
      </c>
      <c r="J32" s="3">
        <f t="shared" ca="1" si="2"/>
        <v>670.32</v>
      </c>
    </row>
    <row r="33" spans="1:10" x14ac:dyDescent="0.25">
      <c r="A33" t="s">
        <v>119</v>
      </c>
      <c r="B33" t="s">
        <v>52</v>
      </c>
      <c r="C33">
        <f t="shared" ca="1" si="0"/>
        <v>6</v>
      </c>
      <c r="D33" s="3">
        <v>6.99</v>
      </c>
      <c r="E33" t="s">
        <v>39</v>
      </c>
      <c r="F33" s="2">
        <v>40197</v>
      </c>
      <c r="G33">
        <f t="shared" ca="1" si="1"/>
        <v>200</v>
      </c>
      <c r="H33" t="s">
        <v>16</v>
      </c>
      <c r="I33" t="s">
        <v>136</v>
      </c>
      <c r="J33" s="3">
        <f t="shared" ca="1" si="2"/>
        <v>1398</v>
      </c>
    </row>
    <row r="34" spans="1:10" x14ac:dyDescent="0.25">
      <c r="A34" t="s">
        <v>120</v>
      </c>
      <c r="B34" t="s">
        <v>64</v>
      </c>
      <c r="C34">
        <f t="shared" ca="1" si="0"/>
        <v>9</v>
      </c>
      <c r="D34" s="3">
        <v>5.99</v>
      </c>
      <c r="E34" t="s">
        <v>39</v>
      </c>
      <c r="F34" s="2">
        <v>40185</v>
      </c>
      <c r="G34">
        <f t="shared" ca="1" si="1"/>
        <v>154</v>
      </c>
      <c r="H34" t="s">
        <v>16</v>
      </c>
      <c r="I34" t="s">
        <v>137</v>
      </c>
      <c r="J34" s="3">
        <f t="shared" ca="1" si="2"/>
        <v>922.46</v>
      </c>
    </row>
    <row r="35" spans="1:10" x14ac:dyDescent="0.25">
      <c r="A35" t="s">
        <v>121</v>
      </c>
      <c r="B35" t="s">
        <v>64</v>
      </c>
      <c r="C35">
        <f t="shared" ca="1" si="0"/>
        <v>1</v>
      </c>
      <c r="D35" s="3">
        <v>4.29</v>
      </c>
      <c r="E35" t="s">
        <v>39</v>
      </c>
      <c r="F35" s="2">
        <v>40194</v>
      </c>
      <c r="G35">
        <f t="shared" ca="1" si="1"/>
        <v>129</v>
      </c>
      <c r="H35" t="s">
        <v>16</v>
      </c>
      <c r="I35" t="s">
        <v>84</v>
      </c>
      <c r="J35" s="3">
        <f t="shared" ca="1" si="2"/>
        <v>553.41</v>
      </c>
    </row>
    <row r="36" spans="1:10" x14ac:dyDescent="0.25">
      <c r="A36" t="s">
        <v>122</v>
      </c>
      <c r="B36" t="s">
        <v>74</v>
      </c>
      <c r="C36">
        <f t="shared" ca="1" si="0"/>
        <v>10</v>
      </c>
      <c r="D36" s="3">
        <v>55.99</v>
      </c>
      <c r="E36" t="s">
        <v>40</v>
      </c>
      <c r="F36" s="2">
        <v>40191</v>
      </c>
      <c r="G36">
        <f t="shared" ca="1" si="1"/>
        <v>467</v>
      </c>
      <c r="H36" t="str">
        <f>VLOOKUP(E36,Suppliers!$A$2:$C$12,3,FALSE)</f>
        <v>Lawn</v>
      </c>
      <c r="I36" t="s">
        <v>85</v>
      </c>
      <c r="J36" s="3">
        <f t="shared" ca="1" si="2"/>
        <v>26147.33</v>
      </c>
    </row>
    <row r="37" spans="1:10" x14ac:dyDescent="0.25">
      <c r="A37" t="s">
        <v>123</v>
      </c>
      <c r="B37" t="s">
        <v>58</v>
      </c>
      <c r="C37">
        <f t="shared" ca="1" si="0"/>
        <v>8</v>
      </c>
      <c r="D37" s="3">
        <v>45.99</v>
      </c>
      <c r="E37" t="s">
        <v>40</v>
      </c>
      <c r="F37" s="2">
        <v>40186</v>
      </c>
      <c r="G37">
        <f t="shared" ca="1" si="1"/>
        <v>150</v>
      </c>
      <c r="H37" t="str">
        <f>VLOOKUP(E37,Suppliers!$A$2:$C$12,3,FALSE)</f>
        <v>Lawn</v>
      </c>
      <c r="I37" t="s">
        <v>86</v>
      </c>
      <c r="J37" s="3">
        <f t="shared" ca="1" si="2"/>
        <v>6898.5</v>
      </c>
    </row>
    <row r="38" spans="1:10" x14ac:dyDescent="0.25">
      <c r="A38" t="s">
        <v>124</v>
      </c>
      <c r="B38" t="s">
        <v>74</v>
      </c>
      <c r="C38">
        <f t="shared" ca="1" si="0"/>
        <v>9</v>
      </c>
      <c r="D38" s="3">
        <v>35.99</v>
      </c>
      <c r="E38" t="s">
        <v>40</v>
      </c>
      <c r="F38" s="2">
        <v>40185</v>
      </c>
      <c r="G38">
        <f t="shared" ca="1" si="1"/>
        <v>365</v>
      </c>
      <c r="H38" t="str">
        <f>VLOOKUP(E38,Suppliers!$A$2:$C$12,3,FALSE)</f>
        <v>Lawn</v>
      </c>
      <c r="I38" t="s">
        <v>87</v>
      </c>
      <c r="J38" s="3">
        <f t="shared" ca="1" si="2"/>
        <v>13136.35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10</xdr:col>
                <xdr:colOff>295275</xdr:colOff>
                <xdr:row>1</xdr:row>
                <xdr:rowOff>0</xdr:rowOff>
              </from>
              <to>
                <xdr:col>13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A76C4-6274-4878-BB77-FCE8B364F987}">
  <sheetPr codeName="Sheet3"/>
  <dimension ref="A1:B9"/>
  <sheetViews>
    <sheetView workbookViewId="0">
      <selection activeCell="D9" sqref="D9"/>
    </sheetView>
  </sheetViews>
  <sheetFormatPr defaultRowHeight="15" x14ac:dyDescent="0.25"/>
  <cols>
    <col min="1" max="1" width="14.85546875" customWidth="1"/>
    <col min="2" max="2" width="10.5703125" bestFit="1" customWidth="1"/>
  </cols>
  <sheetData>
    <row r="1" spans="1:2" ht="15.75" thickBot="1" x14ac:dyDescent="0.3">
      <c r="A1" s="5" t="s">
        <v>11</v>
      </c>
      <c r="B1" s="7" t="s">
        <v>0</v>
      </c>
    </row>
    <row r="2" spans="1:2" x14ac:dyDescent="0.25">
      <c r="A2" t="s">
        <v>12</v>
      </c>
      <c r="B2" t="s">
        <v>4</v>
      </c>
    </row>
    <row r="3" spans="1:2" x14ac:dyDescent="0.25">
      <c r="A3" t="s">
        <v>13</v>
      </c>
      <c r="B3" t="s">
        <v>41</v>
      </c>
    </row>
    <row r="4" spans="1:2" x14ac:dyDescent="0.25">
      <c r="A4" t="s">
        <v>19</v>
      </c>
      <c r="B4" t="s">
        <v>5</v>
      </c>
    </row>
    <row r="5" spans="1:2" x14ac:dyDescent="0.25">
      <c r="A5" t="s">
        <v>14</v>
      </c>
      <c r="B5" t="s">
        <v>6</v>
      </c>
    </row>
    <row r="6" spans="1:2" x14ac:dyDescent="0.25">
      <c r="A6" t="s">
        <v>17</v>
      </c>
      <c r="B6" t="s">
        <v>9</v>
      </c>
    </row>
    <row r="7" spans="1:2" x14ac:dyDescent="0.25">
      <c r="A7" t="s">
        <v>18</v>
      </c>
      <c r="B7" t="s">
        <v>10</v>
      </c>
    </row>
    <row r="8" spans="1:2" x14ac:dyDescent="0.25">
      <c r="A8" t="s">
        <v>20</v>
      </c>
      <c r="B8" t="s">
        <v>15</v>
      </c>
    </row>
    <row r="9" spans="1:2" x14ac:dyDescent="0.25">
      <c r="A9" t="s">
        <v>21</v>
      </c>
      <c r="B9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BF6C2-4E14-403C-A7FF-13836FCC72C7}">
  <sheetPr codeName="Sheet4"/>
  <dimension ref="A1:E12"/>
  <sheetViews>
    <sheetView workbookViewId="0">
      <selection activeCell="D18" sqref="D18"/>
    </sheetView>
  </sheetViews>
  <sheetFormatPr defaultRowHeight="15" x14ac:dyDescent="0.25"/>
  <cols>
    <col min="1" max="1" width="13.5703125" bestFit="1" customWidth="1"/>
    <col min="2" max="2" width="14" bestFit="1" customWidth="1"/>
    <col min="3" max="3" width="10.5703125" bestFit="1" customWidth="1"/>
    <col min="4" max="4" width="27" customWidth="1"/>
  </cols>
  <sheetData>
    <row r="1" spans="1:5" ht="15.75" thickBot="1" x14ac:dyDescent="0.3">
      <c r="A1" s="6" t="s">
        <v>8</v>
      </c>
      <c r="B1" s="6" t="s">
        <v>11</v>
      </c>
      <c r="C1" s="7" t="s">
        <v>0</v>
      </c>
      <c r="D1" s="5" t="s">
        <v>7</v>
      </c>
    </row>
    <row r="2" spans="1:5" x14ac:dyDescent="0.25">
      <c r="A2" t="s">
        <v>33</v>
      </c>
      <c r="B2" t="s">
        <v>19</v>
      </c>
      <c r="C2" t="str">
        <f>VLOOKUP(B2,Categories!$A$2:$B$9,2,FALSE)</f>
        <v>Gen Merch</v>
      </c>
      <c r="D2" t="s">
        <v>23</v>
      </c>
    </row>
    <row r="3" spans="1:5" x14ac:dyDescent="0.25">
      <c r="A3" t="s">
        <v>32</v>
      </c>
      <c r="B3" t="s">
        <v>13</v>
      </c>
      <c r="C3" t="str">
        <f>VLOOKUP(B3,Categories!$A$2:$B$9,2,FALSE)</f>
        <v>Dry Foods</v>
      </c>
      <c r="D3" t="s">
        <v>24</v>
      </c>
    </row>
    <row r="4" spans="1:5" x14ac:dyDescent="0.25">
      <c r="A4" t="s">
        <v>31</v>
      </c>
      <c r="B4" t="s">
        <v>17</v>
      </c>
      <c r="C4" t="str">
        <f>VLOOKUP(B4,Categories!$A$2:$B$9,2,FALSE)</f>
        <v>Beauty</v>
      </c>
      <c r="D4" t="s">
        <v>25</v>
      </c>
    </row>
    <row r="5" spans="1:5" x14ac:dyDescent="0.25">
      <c r="A5" t="s">
        <v>30</v>
      </c>
      <c r="B5" t="s">
        <v>17</v>
      </c>
      <c r="C5" t="str">
        <f>VLOOKUP(B5,Categories!$A$2:$B$9,2,FALSE)</f>
        <v>Beauty</v>
      </c>
      <c r="D5" t="s">
        <v>126</v>
      </c>
    </row>
    <row r="6" spans="1:5" x14ac:dyDescent="0.25">
      <c r="A6" t="s">
        <v>34</v>
      </c>
      <c r="B6" t="s">
        <v>20</v>
      </c>
      <c r="C6" t="str">
        <f>VLOOKUP(B6,Categories!$A$2:$B$9,2,FALSE)</f>
        <v>Beverage</v>
      </c>
      <c r="D6" t="s">
        <v>26</v>
      </c>
      <c r="E6" s="11"/>
    </row>
    <row r="7" spans="1:5" x14ac:dyDescent="0.25">
      <c r="A7" t="s">
        <v>35</v>
      </c>
      <c r="B7" t="s">
        <v>19</v>
      </c>
      <c r="C7" t="str">
        <f>VLOOKUP(B7,Categories!$A$2:$B$9,2,FALSE)</f>
        <v>Gen Merch</v>
      </c>
      <c r="D7" t="s">
        <v>27</v>
      </c>
      <c r="E7" s="11"/>
    </row>
    <row r="8" spans="1:5" x14ac:dyDescent="0.25">
      <c r="A8" t="s">
        <v>36</v>
      </c>
      <c r="B8" t="s">
        <v>14</v>
      </c>
      <c r="C8" t="str">
        <f>VLOOKUP(B8,Categories!$A$2:$B$9,2,FALSE)</f>
        <v>Produce</v>
      </c>
      <c r="D8" t="s">
        <v>28</v>
      </c>
      <c r="E8" s="11"/>
    </row>
    <row r="9" spans="1:5" x14ac:dyDescent="0.25">
      <c r="A9" t="s">
        <v>37</v>
      </c>
      <c r="B9" t="s">
        <v>18</v>
      </c>
      <c r="C9" t="str">
        <f>VLOOKUP(B9,Categories!$A$2:$B$9,2,FALSE)</f>
        <v>Health</v>
      </c>
      <c r="D9" t="s">
        <v>128</v>
      </c>
      <c r="E9" s="11"/>
    </row>
    <row r="10" spans="1:5" x14ac:dyDescent="0.25">
      <c r="A10" t="s">
        <v>38</v>
      </c>
      <c r="B10" t="s">
        <v>12</v>
      </c>
      <c r="C10" t="str">
        <f>VLOOKUP(B10,Categories!$A$2:$B$9,2,FALSE)</f>
        <v>Lawn</v>
      </c>
      <c r="D10" t="s">
        <v>127</v>
      </c>
      <c r="E10" s="11"/>
    </row>
    <row r="11" spans="1:5" x14ac:dyDescent="0.25">
      <c r="A11" t="s">
        <v>39</v>
      </c>
      <c r="B11" t="s">
        <v>21</v>
      </c>
      <c r="C11" t="str">
        <f>VLOOKUP(B11,Categories!$A$2:$B$9,2,FALSE)</f>
        <v>Dairy</v>
      </c>
      <c r="D11" t="s">
        <v>134</v>
      </c>
      <c r="E11" s="11"/>
    </row>
    <row r="12" spans="1:5" x14ac:dyDescent="0.25">
      <c r="A12" t="s">
        <v>40</v>
      </c>
      <c r="B12" t="s">
        <v>12</v>
      </c>
      <c r="C12" t="str">
        <f>VLOOKUP(B12,Categories!$A$2:$B$9,2,FALSE)</f>
        <v>Lawn</v>
      </c>
      <c r="D12" t="s">
        <v>129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B17F7-3A04-4A34-8014-AAD03EE2C4CC}">
  <sheetPr codeName="Sheet1"/>
  <dimension ref="A1:L23"/>
  <sheetViews>
    <sheetView topLeftCell="C1" workbookViewId="0">
      <selection activeCell="Q15" sqref="Q15"/>
    </sheetView>
  </sheetViews>
  <sheetFormatPr defaultRowHeight="15" x14ac:dyDescent="0.25"/>
  <cols>
    <col min="1" max="1" width="13.28515625" bestFit="1" customWidth="1"/>
    <col min="2" max="2" width="14.5703125" bestFit="1" customWidth="1"/>
    <col min="3" max="3" width="11.85546875" bestFit="1" customWidth="1"/>
    <col min="4" max="4" width="16.85546875" bestFit="1" customWidth="1"/>
    <col min="5" max="5" width="12.7109375" bestFit="1" customWidth="1"/>
    <col min="6" max="6" width="13.5703125" style="3" bestFit="1" customWidth="1"/>
    <col min="7" max="7" width="10.140625" style="3" bestFit="1" customWidth="1"/>
    <col min="8" max="8" width="16" bestFit="1" customWidth="1"/>
    <col min="9" max="9" width="23.140625" style="4" bestFit="1" customWidth="1"/>
    <col min="10" max="10" width="17.42578125" style="3" bestFit="1" customWidth="1"/>
    <col min="11" max="11" width="23.85546875" style="3" bestFit="1" customWidth="1"/>
  </cols>
  <sheetData>
    <row r="1" spans="1:11" ht="15.75" thickBot="1" x14ac:dyDescent="0.3">
      <c r="A1" s="5"/>
      <c r="B1" s="6" t="s">
        <v>80</v>
      </c>
      <c r="C1" s="6" t="s">
        <v>3</v>
      </c>
      <c r="D1" s="6" t="s">
        <v>125</v>
      </c>
      <c r="E1" s="6" t="s">
        <v>69</v>
      </c>
      <c r="F1" s="8" t="s">
        <v>2</v>
      </c>
      <c r="G1" s="8" t="s">
        <v>56</v>
      </c>
      <c r="H1" s="6" t="s">
        <v>57</v>
      </c>
      <c r="I1" s="9" t="s">
        <v>131</v>
      </c>
      <c r="J1" s="10" t="s">
        <v>130</v>
      </c>
      <c r="K1" s="13" t="s">
        <v>132</v>
      </c>
    </row>
    <row r="2" spans="1:11" x14ac:dyDescent="0.25">
      <c r="A2" s="1"/>
      <c r="B2">
        <f ca="1">RANDBETWEEN(1,10000)</f>
        <v>6859</v>
      </c>
      <c r="C2" t="s">
        <v>101</v>
      </c>
      <c r="D2">
        <f ca="1">RANDBETWEEN(10,150)</f>
        <v>107</v>
      </c>
      <c r="E2" s="2">
        <v>40185</v>
      </c>
      <c r="F2" s="3">
        <f>VLOOKUP(C2,'Current Inventory'!$A$2:$G$38,4,FALSE)</f>
        <v>25.78</v>
      </c>
      <c r="G2" s="3">
        <f t="shared" ref="G2:G21" ca="1" si="0">D2*F2</f>
        <v>2758.46</v>
      </c>
      <c r="H2" t="str">
        <f ca="1">IF(D2&lt;VLOOKUP(C2,'Current Inventory'!$A$2:$G$38,7,FALSE), "Yes", "No")</f>
        <v>Yes</v>
      </c>
      <c r="I2" s="4" t="str">
        <f ca="1">IF(D2/VLOOKUP(C2,'Current Inventory'!$A$1:$G$38,7,FALSE)&gt;0.5, "VIP", "No")</f>
        <v>VIP</v>
      </c>
      <c r="J2" s="3" t="str">
        <f ca="1">IF(G2&gt;AVERAGE($G$2:$G$21), "HVO", "No")</f>
        <v>HVO</v>
      </c>
      <c r="K2" s="3">
        <f ca="1">IF(J2="HVO", G2, "   ")</f>
        <v>2758.46</v>
      </c>
    </row>
    <row r="3" spans="1:11" x14ac:dyDescent="0.25">
      <c r="B3">
        <f t="shared" ref="B3:B21" ca="1" si="1">RANDBETWEEN(1,10000)</f>
        <v>242</v>
      </c>
      <c r="C3" t="s">
        <v>112</v>
      </c>
      <c r="D3">
        <f t="shared" ref="D3:D21" ca="1" si="2">RANDBETWEEN(10,200)</f>
        <v>29</v>
      </c>
      <c r="E3" s="2">
        <v>40195</v>
      </c>
      <c r="F3" s="3">
        <f>VLOOKUP(C3,'Current Inventory'!$A$2:$G$38,4,FALSE)</f>
        <v>2.99</v>
      </c>
      <c r="G3" s="3">
        <f t="shared" ca="1" si="0"/>
        <v>86.710000000000008</v>
      </c>
      <c r="H3" t="str">
        <f ca="1">IF(D3&lt;VLOOKUP(C3,'Current Inventory'!$A$2:$G$38,7,FALSE), "Yes", "No")</f>
        <v>Yes</v>
      </c>
      <c r="I3" s="4" t="str">
        <f ca="1">IF(D3/VLOOKUP(C3,'Current Inventory'!$A$1:$G$38,7,FALSE)&gt;0.5, "VIP", "No")</f>
        <v>No</v>
      </c>
      <c r="J3" s="3" t="str">
        <f t="shared" ref="J3:J21" ca="1" si="3">IF(G3&gt;AVERAGE($G$2:$G$21), "HVO", "No")</f>
        <v>No</v>
      </c>
      <c r="K3" s="3" t="str">
        <f t="shared" ref="K3:K21" ca="1" si="4">IF(J3="HVO", G3, "   ")</f>
        <v xml:space="preserve">   </v>
      </c>
    </row>
    <row r="4" spans="1:11" x14ac:dyDescent="0.25">
      <c r="B4">
        <f t="shared" ca="1" si="1"/>
        <v>2164</v>
      </c>
      <c r="C4" t="s">
        <v>96</v>
      </c>
      <c r="D4">
        <f t="shared" ca="1" si="2"/>
        <v>77</v>
      </c>
      <c r="E4" s="2">
        <v>40184</v>
      </c>
      <c r="F4" s="3">
        <f>VLOOKUP(C4,'Current Inventory'!$A$2:$G$38,4,FALSE)</f>
        <v>12.99</v>
      </c>
      <c r="G4" s="3">
        <f t="shared" ca="1" si="0"/>
        <v>1000.23</v>
      </c>
      <c r="H4" t="str">
        <f ca="1">IF(D4&lt;VLOOKUP(C4,'Current Inventory'!$A$2:$G$38,7,FALSE), "Yes", "No")</f>
        <v>Yes</v>
      </c>
      <c r="I4" s="4" t="str">
        <f ca="1">IF(D4/VLOOKUP(C4,'Current Inventory'!$A$1:$G$38,7,FALSE)&gt;0.5, "VIP", "No")</f>
        <v>No</v>
      </c>
      <c r="J4" s="3" t="str">
        <f t="shared" ca="1" si="3"/>
        <v>No</v>
      </c>
      <c r="K4" s="3" t="str">
        <f t="shared" ca="1" si="4"/>
        <v xml:space="preserve">   </v>
      </c>
    </row>
    <row r="5" spans="1:11" x14ac:dyDescent="0.25">
      <c r="B5">
        <f t="shared" ca="1" si="1"/>
        <v>4452</v>
      </c>
      <c r="C5" t="s">
        <v>91</v>
      </c>
      <c r="D5">
        <f t="shared" ca="1" si="2"/>
        <v>82</v>
      </c>
      <c r="E5" s="2">
        <v>40203</v>
      </c>
      <c r="F5" s="3">
        <f>VLOOKUP(C5,'Current Inventory'!$A$2:$G$38,4,FALSE)</f>
        <v>2.99</v>
      </c>
      <c r="G5" s="3">
        <f t="shared" ca="1" si="0"/>
        <v>245.18</v>
      </c>
      <c r="H5" t="str">
        <f ca="1">IF(D5&lt;VLOOKUP(C5,'Current Inventory'!$A$2:$G$38,7,FALSE), "Yes", "No")</f>
        <v>Yes</v>
      </c>
      <c r="I5" s="4" t="str">
        <f ca="1">IF(D5/VLOOKUP(C5,'Current Inventory'!$A$1:$G$38,7,FALSE)&gt;0.5, "VIP", "No")</f>
        <v>No</v>
      </c>
      <c r="J5" s="3" t="str">
        <f t="shared" ca="1" si="3"/>
        <v>No</v>
      </c>
      <c r="K5" s="3" t="str">
        <f t="shared" ca="1" si="4"/>
        <v xml:space="preserve">   </v>
      </c>
    </row>
    <row r="6" spans="1:11" x14ac:dyDescent="0.25">
      <c r="B6">
        <f t="shared" ca="1" si="1"/>
        <v>8336</v>
      </c>
      <c r="C6" t="s">
        <v>111</v>
      </c>
      <c r="D6">
        <f t="shared" ca="1" si="2"/>
        <v>93</v>
      </c>
      <c r="E6" s="2">
        <v>40196</v>
      </c>
      <c r="F6" s="3">
        <f>VLOOKUP(C6,'Current Inventory'!$A$2:$G$38,4,FALSE)</f>
        <v>6.99</v>
      </c>
      <c r="G6" s="3">
        <f t="shared" ca="1" si="0"/>
        <v>650.07000000000005</v>
      </c>
      <c r="H6" t="str">
        <f ca="1">IF(D6&lt;VLOOKUP(C6,'Current Inventory'!$A$2:$G$38,7,FALSE), "Yes", "No")</f>
        <v>No</v>
      </c>
      <c r="I6" s="4" t="str">
        <f ca="1">IF(D6/VLOOKUP(C6,'Current Inventory'!$A$1:$G$38,7,FALSE)&gt;0.5, "VIP", "No")</f>
        <v>VIP</v>
      </c>
      <c r="J6" s="3" t="str">
        <f t="shared" ca="1" si="3"/>
        <v>No</v>
      </c>
      <c r="K6" s="3" t="str">
        <f t="shared" ca="1" si="4"/>
        <v xml:space="preserve">   </v>
      </c>
    </row>
    <row r="7" spans="1:11" x14ac:dyDescent="0.25">
      <c r="B7">
        <f t="shared" ca="1" si="1"/>
        <v>548</v>
      </c>
      <c r="C7" t="s">
        <v>123</v>
      </c>
      <c r="D7">
        <f t="shared" ca="1" si="2"/>
        <v>87</v>
      </c>
      <c r="E7" s="2">
        <v>40194</v>
      </c>
      <c r="F7" s="3">
        <f>VLOOKUP(C7,'Current Inventory'!$A$2:$G$38,4,FALSE)</f>
        <v>45.99</v>
      </c>
      <c r="G7" s="3">
        <f t="shared" ca="1" si="0"/>
        <v>4001.13</v>
      </c>
      <c r="H7" t="str">
        <f ca="1">IF(D7&lt;VLOOKUP(C7,'Current Inventory'!$A$2:$G$38,7,FALSE), "Yes", "No")</f>
        <v>Yes</v>
      </c>
      <c r="I7" s="4" t="str">
        <f ca="1">IF(D7/VLOOKUP(C7,'Current Inventory'!$A$1:$G$38,7,FALSE)&gt;0.5, "VIP", "No")</f>
        <v>VIP</v>
      </c>
      <c r="J7" s="3" t="str">
        <f ca="1">IF(G7&gt;AVERAGE($G$2:$G$21), "HVO", "No")</f>
        <v>HVO</v>
      </c>
      <c r="K7" s="3">
        <f t="shared" ca="1" si="4"/>
        <v>4001.13</v>
      </c>
    </row>
    <row r="8" spans="1:11" x14ac:dyDescent="0.25">
      <c r="B8">
        <f t="shared" ca="1" si="1"/>
        <v>5361</v>
      </c>
      <c r="C8" t="s">
        <v>117</v>
      </c>
      <c r="D8">
        <f t="shared" ca="1" si="2"/>
        <v>40</v>
      </c>
      <c r="E8" s="2">
        <v>40188</v>
      </c>
      <c r="F8" s="3">
        <f>VLOOKUP(C8,'Current Inventory'!$A$2:$G$38,4,FALSE)</f>
        <v>50.99</v>
      </c>
      <c r="G8" s="3">
        <f t="shared" ca="1" si="0"/>
        <v>2039.6000000000001</v>
      </c>
      <c r="H8" t="str">
        <f ca="1">IF(D8&lt;VLOOKUP(C8,'Current Inventory'!$A$2:$G$38,7,FALSE), "Yes", "No")</f>
        <v>Yes</v>
      </c>
      <c r="I8" s="4" t="str">
        <f ca="1">IF(D8/VLOOKUP(C8,'Current Inventory'!$A$1:$G$38,7,FALSE)&gt;0.5, "VIP", "No")</f>
        <v>No</v>
      </c>
      <c r="J8" s="3" t="str">
        <f ca="1">IF(G8&gt;AVERAGE($G$2:$G$21), "HVO", "No")</f>
        <v>HVO</v>
      </c>
      <c r="K8" s="3">
        <f t="shared" ca="1" si="4"/>
        <v>2039.6000000000001</v>
      </c>
    </row>
    <row r="9" spans="1:11" x14ac:dyDescent="0.25">
      <c r="B9">
        <f t="shared" ca="1" si="1"/>
        <v>815</v>
      </c>
      <c r="C9" t="s">
        <v>107</v>
      </c>
      <c r="D9">
        <f t="shared" ca="1" si="2"/>
        <v>58</v>
      </c>
      <c r="E9" s="2">
        <v>40205</v>
      </c>
      <c r="F9" s="3">
        <f>VLOOKUP(C9,'Current Inventory'!$A$2:$G$38,4,FALSE)</f>
        <v>0.99</v>
      </c>
      <c r="G9" s="3">
        <f t="shared" ca="1" si="0"/>
        <v>57.42</v>
      </c>
      <c r="H9" t="str">
        <f ca="1">IF(D9&lt;VLOOKUP(C9,'Current Inventory'!$A$2:$G$38,7,FALSE), "Yes", "No")</f>
        <v>Yes</v>
      </c>
      <c r="I9" s="4" t="str">
        <f ca="1">IF(D9/VLOOKUP(C9,'Current Inventory'!$A$1:$G$38,7,FALSE)&gt;0.5, "VIP", "No")</f>
        <v>No</v>
      </c>
      <c r="J9" s="3" t="str">
        <f t="shared" ca="1" si="3"/>
        <v>No</v>
      </c>
      <c r="K9" s="3" t="str">
        <f t="shared" ca="1" si="4"/>
        <v xml:space="preserve">   </v>
      </c>
    </row>
    <row r="10" spans="1:11" x14ac:dyDescent="0.25">
      <c r="B10">
        <f t="shared" ca="1" si="1"/>
        <v>5437</v>
      </c>
      <c r="C10" t="s">
        <v>109</v>
      </c>
      <c r="D10">
        <f t="shared" ca="1" si="2"/>
        <v>50</v>
      </c>
      <c r="E10" s="2">
        <v>40207</v>
      </c>
      <c r="F10" s="3">
        <f>VLOOKUP(C10,'Current Inventory'!$A$2:$G$38,4,FALSE)</f>
        <v>6.99</v>
      </c>
      <c r="G10" s="3">
        <f t="shared" ca="1" si="0"/>
        <v>349.5</v>
      </c>
      <c r="H10" t="str">
        <f ca="1">IF(D10&lt;VLOOKUP(C10,'Current Inventory'!$A$2:$G$38,7,FALSE), "Yes", "No")</f>
        <v>Yes</v>
      </c>
      <c r="I10" s="4" t="str">
        <f ca="1">IF(D10/VLOOKUP(C10,'Current Inventory'!$A$1:$G$38,7,FALSE)&gt;0.5, "VIP", "No")</f>
        <v>No</v>
      </c>
      <c r="J10" s="3" t="str">
        <f t="shared" ca="1" si="3"/>
        <v>No</v>
      </c>
      <c r="K10" s="3" t="str">
        <f t="shared" ca="1" si="4"/>
        <v xml:space="preserve">   </v>
      </c>
    </row>
    <row r="11" spans="1:11" x14ac:dyDescent="0.25">
      <c r="B11">
        <f t="shared" ca="1" si="1"/>
        <v>2324</v>
      </c>
      <c r="C11" t="s">
        <v>97</v>
      </c>
      <c r="D11">
        <f t="shared" ca="1" si="2"/>
        <v>159</v>
      </c>
      <c r="E11" s="2">
        <v>40190</v>
      </c>
      <c r="F11" s="3">
        <f>VLOOKUP(C11,'Current Inventory'!$A$2:$G$38,4,FALSE)</f>
        <v>2.99</v>
      </c>
      <c r="G11" s="3">
        <f t="shared" ca="1" si="0"/>
        <v>475.41</v>
      </c>
      <c r="H11" t="str">
        <f ca="1">IF(D11&lt;VLOOKUP(C11,'Current Inventory'!$A$2:$G$38,7,FALSE), "Yes", "No")</f>
        <v>No</v>
      </c>
      <c r="I11" s="4" t="str">
        <f ca="1">IF(D11/VLOOKUP(C11,'Current Inventory'!$A$1:$G$38,7,FALSE)&gt;0.5, "VIP", "No")</f>
        <v>VIP</v>
      </c>
      <c r="J11" s="3" t="str">
        <f t="shared" ca="1" si="3"/>
        <v>No</v>
      </c>
      <c r="K11" s="3" t="str">
        <f t="shared" ca="1" si="4"/>
        <v xml:space="preserve">   </v>
      </c>
    </row>
    <row r="12" spans="1:11" x14ac:dyDescent="0.25">
      <c r="B12">
        <f t="shared" ca="1" si="1"/>
        <v>8573</v>
      </c>
      <c r="C12" t="s">
        <v>88</v>
      </c>
      <c r="D12">
        <f t="shared" ca="1" si="2"/>
        <v>116</v>
      </c>
      <c r="E12" s="2">
        <v>40208</v>
      </c>
      <c r="F12" s="3">
        <f>VLOOKUP(C12,'Current Inventory'!$A$2:$G$38,4,FALSE)</f>
        <v>5.99</v>
      </c>
      <c r="G12" s="3">
        <f t="shared" ca="1" si="0"/>
        <v>694.84</v>
      </c>
      <c r="H12" t="str">
        <f ca="1">IF(D12&lt;VLOOKUP(C12,'Current Inventory'!$A$2:$G$38,7,FALSE), "Yes", "No")</f>
        <v>Yes</v>
      </c>
      <c r="I12" s="4" t="str">
        <f ca="1">IF(D12/VLOOKUP(C12,'Current Inventory'!$A$1:$G$38,7,FALSE)&gt;0.5, "VIP", "No")</f>
        <v>No</v>
      </c>
      <c r="J12" s="3" t="str">
        <f t="shared" ca="1" si="3"/>
        <v>No</v>
      </c>
      <c r="K12" s="3" t="str">
        <f t="shared" ca="1" si="4"/>
        <v xml:space="preserve">   </v>
      </c>
    </row>
    <row r="13" spans="1:11" x14ac:dyDescent="0.25">
      <c r="B13">
        <f t="shared" ca="1" si="1"/>
        <v>2547</v>
      </c>
      <c r="C13" t="s">
        <v>100</v>
      </c>
      <c r="D13">
        <f t="shared" ca="1" si="2"/>
        <v>24</v>
      </c>
      <c r="E13" s="2">
        <v>40187</v>
      </c>
      <c r="F13" s="3">
        <f>VLOOKUP(C13,'Current Inventory'!$A$2:$G$38,4,FALSE)</f>
        <v>0.99</v>
      </c>
      <c r="G13" s="3">
        <f t="shared" ca="1" si="0"/>
        <v>23.759999999999998</v>
      </c>
      <c r="H13" t="str">
        <f ca="1">IF(D13&lt;VLOOKUP(C13,'Current Inventory'!$A$2:$G$38,7,FALSE), "Yes", "No")</f>
        <v>Yes</v>
      </c>
      <c r="I13" s="4" t="str">
        <f ca="1">IF(D13/VLOOKUP(C13,'Current Inventory'!$A$1:$G$38,7,FALSE)&gt;0.5, "VIP", "No")</f>
        <v>No</v>
      </c>
      <c r="J13" s="3" t="str">
        <f t="shared" ca="1" si="3"/>
        <v>No</v>
      </c>
      <c r="K13" s="3" t="str">
        <f t="shared" ca="1" si="4"/>
        <v xml:space="preserve">   </v>
      </c>
    </row>
    <row r="14" spans="1:11" x14ac:dyDescent="0.25">
      <c r="B14">
        <f t="shared" ca="1" si="1"/>
        <v>4856</v>
      </c>
      <c r="C14" t="s">
        <v>116</v>
      </c>
      <c r="D14">
        <f t="shared" ca="1" si="2"/>
        <v>158</v>
      </c>
      <c r="E14" s="2">
        <v>40200</v>
      </c>
      <c r="F14" s="3">
        <f>VLOOKUP(C14,'Current Inventory'!$A$2:$G$38,4,FALSE)</f>
        <v>50.99</v>
      </c>
      <c r="G14" s="3">
        <f t="shared" ca="1" si="0"/>
        <v>8056.42</v>
      </c>
      <c r="H14" t="str">
        <f ca="1">IF(D14&lt;VLOOKUP(C14,'Current Inventory'!$A$2:$G$38,7,FALSE), "Yes", "No")</f>
        <v>No</v>
      </c>
      <c r="I14" s="4" t="str">
        <f ca="1">IF(D14/VLOOKUP(C14,'Current Inventory'!$A$1:$G$38,7,FALSE)&gt;0.5, "VIP", "No")</f>
        <v>VIP</v>
      </c>
      <c r="J14" s="3" t="str">
        <f t="shared" ca="1" si="3"/>
        <v>HVO</v>
      </c>
      <c r="K14" s="3">
        <f t="shared" ca="1" si="4"/>
        <v>8056.42</v>
      </c>
    </row>
    <row r="15" spans="1:11" x14ac:dyDescent="0.25">
      <c r="B15">
        <f t="shared" ca="1" si="1"/>
        <v>5457</v>
      </c>
      <c r="C15" t="s">
        <v>119</v>
      </c>
      <c r="D15">
        <f t="shared" ca="1" si="2"/>
        <v>107</v>
      </c>
      <c r="E15" s="2">
        <v>40205</v>
      </c>
      <c r="F15" s="3">
        <f>VLOOKUP(C15,'Current Inventory'!$A$2:$G$38,4,FALSE)</f>
        <v>6.99</v>
      </c>
      <c r="G15" s="3">
        <f t="shared" ca="1" si="0"/>
        <v>747.93000000000006</v>
      </c>
      <c r="H15" t="str">
        <f ca="1">IF(D15&lt;VLOOKUP(C15,'Current Inventory'!$A$2:$G$38,7,FALSE), "Yes", "No")</f>
        <v>Yes</v>
      </c>
      <c r="I15" s="4" t="str">
        <f ca="1">IF(D15/VLOOKUP(C15,'Current Inventory'!$A$1:$G$38,7,FALSE)&gt;0.5, "VIP", "No")</f>
        <v>VIP</v>
      </c>
      <c r="J15" s="3" t="str">
        <f t="shared" ca="1" si="3"/>
        <v>No</v>
      </c>
      <c r="K15" s="3" t="str">
        <f t="shared" ca="1" si="4"/>
        <v xml:space="preserve">   </v>
      </c>
    </row>
    <row r="16" spans="1:11" x14ac:dyDescent="0.25">
      <c r="B16">
        <f t="shared" ca="1" si="1"/>
        <v>7574</v>
      </c>
      <c r="C16" t="s">
        <v>105</v>
      </c>
      <c r="D16">
        <f t="shared" ca="1" si="2"/>
        <v>33</v>
      </c>
      <c r="E16" s="2">
        <v>40194</v>
      </c>
      <c r="F16" s="3">
        <f>VLOOKUP(C16,'Current Inventory'!$A$2:$G$38,4,FALSE)</f>
        <v>0.99</v>
      </c>
      <c r="G16" s="3">
        <f t="shared" ca="1" si="0"/>
        <v>32.67</v>
      </c>
      <c r="H16" t="str">
        <f ca="1">IF(D16&lt;VLOOKUP(C16,'Current Inventory'!$A$2:$G$38,7,FALSE), "Yes", "No")</f>
        <v>Yes</v>
      </c>
      <c r="I16" s="4" t="str">
        <f ca="1">IF(D16/VLOOKUP(C16,'Current Inventory'!$A$1:$G$38,7,FALSE)&gt;0.5, "VIP", "No")</f>
        <v>No</v>
      </c>
      <c r="J16" s="3" t="str">
        <f t="shared" ca="1" si="3"/>
        <v>No</v>
      </c>
      <c r="K16" s="3" t="str">
        <f t="shared" ca="1" si="4"/>
        <v xml:space="preserve">   </v>
      </c>
    </row>
    <row r="17" spans="2:12" x14ac:dyDescent="0.25">
      <c r="B17">
        <f t="shared" ca="1" si="1"/>
        <v>1206</v>
      </c>
      <c r="C17" t="s">
        <v>115</v>
      </c>
      <c r="D17">
        <f t="shared" ca="1" si="2"/>
        <v>195</v>
      </c>
      <c r="E17" s="2">
        <v>40207</v>
      </c>
      <c r="F17" s="3">
        <f>VLOOKUP(C17,'Current Inventory'!$A$2:$G$38,4,FALSE)</f>
        <v>50.99</v>
      </c>
      <c r="G17" s="3">
        <f t="shared" ca="1" si="0"/>
        <v>9943.0500000000011</v>
      </c>
      <c r="H17" t="str">
        <f ca="1">IF(D17&lt;VLOOKUP(C17,'Current Inventory'!$A$2:$G$38,7,FALSE), "Yes", "No")</f>
        <v>Yes</v>
      </c>
      <c r="I17" s="4" t="str">
        <f ca="1">IF(D17/VLOOKUP(C17,'Current Inventory'!$A$1:$G$38,7,FALSE)&gt;0.5, "VIP", "No")</f>
        <v>VIP</v>
      </c>
      <c r="J17" s="3" t="str">
        <f t="shared" ca="1" si="3"/>
        <v>HVO</v>
      </c>
      <c r="K17" s="3">
        <f t="shared" ca="1" si="4"/>
        <v>9943.0500000000011</v>
      </c>
    </row>
    <row r="18" spans="2:12" x14ac:dyDescent="0.25">
      <c r="B18">
        <f t="shared" ca="1" si="1"/>
        <v>4327</v>
      </c>
      <c r="C18" t="s">
        <v>98</v>
      </c>
      <c r="D18">
        <f t="shared" ca="1" si="2"/>
        <v>87</v>
      </c>
      <c r="E18" s="2">
        <v>40202</v>
      </c>
      <c r="F18" s="3">
        <f>VLOOKUP(C18,'Current Inventory'!$A$2:$G$38,4,FALSE)</f>
        <v>1.99</v>
      </c>
      <c r="G18" s="3">
        <f t="shared" ca="1" si="0"/>
        <v>173.13</v>
      </c>
      <c r="H18" t="str">
        <f ca="1">IF(D18&lt;VLOOKUP(C18,'Current Inventory'!$A$2:$G$38,7,FALSE), "Yes", "No")</f>
        <v>Yes</v>
      </c>
      <c r="I18" s="4" t="str">
        <f ca="1">IF(D18/VLOOKUP(C18,'Current Inventory'!$A$1:$G$38,7,FALSE)&gt;0.5, "VIP", "No")</f>
        <v>VIP</v>
      </c>
      <c r="J18" s="3" t="str">
        <f t="shared" ca="1" si="3"/>
        <v>No</v>
      </c>
      <c r="K18" s="3" t="str">
        <f t="shared" ca="1" si="4"/>
        <v xml:space="preserve">   </v>
      </c>
    </row>
    <row r="19" spans="2:12" x14ac:dyDescent="0.25">
      <c r="B19">
        <f t="shared" ca="1" si="1"/>
        <v>4424</v>
      </c>
      <c r="C19" t="s">
        <v>108</v>
      </c>
      <c r="D19">
        <f t="shared" ca="1" si="2"/>
        <v>198</v>
      </c>
      <c r="E19" s="2">
        <v>40192</v>
      </c>
      <c r="F19" s="3">
        <f>VLOOKUP(C19,'Current Inventory'!$A$2:$G$38,4,FALSE)</f>
        <v>0.99</v>
      </c>
      <c r="G19" s="3">
        <f t="shared" ca="1" si="0"/>
        <v>196.02</v>
      </c>
      <c r="H19" t="str">
        <f ca="1">IF(D19&lt;VLOOKUP(C19,'Current Inventory'!$A$2:$G$38,7,FALSE), "Yes", "No")</f>
        <v>Yes</v>
      </c>
      <c r="I19" s="4" t="str">
        <f ca="1">IF(D19/VLOOKUP(C19,'Current Inventory'!$A$1:$G$38,7,FALSE)&gt;0.5, "VIP", "No")</f>
        <v>No</v>
      </c>
      <c r="J19" s="3" t="str">
        <f t="shared" ca="1" si="3"/>
        <v>No</v>
      </c>
      <c r="K19" s="3" t="str">
        <f t="shared" ca="1" si="4"/>
        <v xml:space="preserve">   </v>
      </c>
    </row>
    <row r="20" spans="2:12" x14ac:dyDescent="0.25">
      <c r="B20">
        <f t="shared" ca="1" si="1"/>
        <v>6695</v>
      </c>
      <c r="C20" t="s">
        <v>113</v>
      </c>
      <c r="D20">
        <f t="shared" ca="1" si="2"/>
        <v>181</v>
      </c>
      <c r="E20" s="2">
        <v>40187</v>
      </c>
      <c r="F20" s="3">
        <f>VLOOKUP(C20,'Current Inventory'!$A$2:$G$38,4,FALSE)</f>
        <v>2.99</v>
      </c>
      <c r="G20" s="3">
        <f t="shared" ca="1" si="0"/>
        <v>541.19000000000005</v>
      </c>
      <c r="H20" t="str">
        <f ca="1">IF(D20&lt;VLOOKUP(C20,'Current Inventory'!$A$2:$G$38,7,FALSE), "Yes", "No")</f>
        <v>No</v>
      </c>
      <c r="I20" s="4" t="str">
        <f ca="1">IF(D20/VLOOKUP(C20,'Current Inventory'!$A$1:$G$38,7,FALSE)&gt;0.5, "VIP", "No")</f>
        <v>VIP</v>
      </c>
      <c r="J20" s="3" t="str">
        <f t="shared" ca="1" si="3"/>
        <v>No</v>
      </c>
      <c r="K20" s="3" t="str">
        <f t="shared" ca="1" si="4"/>
        <v xml:space="preserve">   </v>
      </c>
    </row>
    <row r="21" spans="2:12" x14ac:dyDescent="0.25">
      <c r="B21">
        <f t="shared" ca="1" si="1"/>
        <v>3756</v>
      </c>
      <c r="C21" t="s">
        <v>114</v>
      </c>
      <c r="D21">
        <f t="shared" ca="1" si="2"/>
        <v>126</v>
      </c>
      <c r="E21" s="2">
        <v>40195</v>
      </c>
      <c r="F21" s="3">
        <f>VLOOKUP(C21,'Current Inventory'!$A$2:$G$38,4,FALSE)</f>
        <v>2.99</v>
      </c>
      <c r="G21" s="3">
        <f t="shared" ca="1" si="0"/>
        <v>376.74</v>
      </c>
      <c r="H21" t="str">
        <f ca="1">IF(D21&lt;VLOOKUP(C21,'Current Inventory'!$A$2:$G$38,7,FALSE), "Yes", "No")</f>
        <v>Yes</v>
      </c>
      <c r="I21" s="4" t="str">
        <f ca="1">IF(D21/VLOOKUP(C21,'Current Inventory'!$A$1:$G$38,7,FALSE)&gt;0.5, "VIP", "No")</f>
        <v>VIP</v>
      </c>
      <c r="J21" s="3" t="str">
        <f t="shared" ca="1" si="3"/>
        <v>No</v>
      </c>
      <c r="K21" s="3" t="str">
        <f t="shared" ca="1" si="4"/>
        <v xml:space="preserve">   </v>
      </c>
    </row>
    <row r="22" spans="2:12" x14ac:dyDescent="0.25">
      <c r="I22"/>
      <c r="J22"/>
      <c r="L22" s="3"/>
    </row>
    <row r="23" spans="2:12" x14ac:dyDescent="0.25">
      <c r="J23" s="12"/>
    </row>
  </sheetData>
  <conditionalFormatting sqref="H1:H1048576 I22:J22">
    <cfRule type="cellIs" dxfId="5" priority="5" operator="equal">
      <formula>"Yes"</formula>
    </cfRule>
    <cfRule type="cellIs" dxfId="4" priority="6" operator="equal">
      <formula>"No"</formula>
    </cfRule>
  </conditionalFormatting>
  <conditionalFormatting sqref="I2:I21">
    <cfRule type="cellIs" dxfId="3" priority="3" operator="equal">
      <formula>"VIP"</formula>
    </cfRule>
    <cfRule type="cellIs" dxfId="2" priority="4" operator="equal">
      <formula>"No"</formula>
    </cfRule>
  </conditionalFormatting>
  <conditionalFormatting sqref="J2:J21">
    <cfRule type="cellIs" dxfId="1" priority="1" operator="equal">
      <formula>"HVO"</formula>
    </cfRule>
    <cfRule type="cellIs" dxfId="0" priority="2" operator="equal">
      <formula>"No"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11</xdr:col>
                <xdr:colOff>123825</xdr:colOff>
                <xdr:row>0</xdr:row>
                <xdr:rowOff>142875</xdr:rowOff>
              </from>
              <to>
                <xdr:col>14</xdr:col>
                <xdr:colOff>219075</xdr:colOff>
                <xdr:row>8</xdr:row>
                <xdr:rowOff>114300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1EC5056B277064D8DFAF6A3EDEE42EA" ma:contentTypeVersion="10" ma:contentTypeDescription="Create a new document." ma:contentTypeScope="" ma:versionID="6c8abb14c14b323e904b1c146750d755">
  <xsd:schema xmlns:xsd="http://www.w3.org/2001/XMLSchema" xmlns:xs="http://www.w3.org/2001/XMLSchema" xmlns:p="http://schemas.microsoft.com/office/2006/metadata/properties" xmlns:ns3="a5125414-0bee-4c6f-802a-3e8c35606933" targetNamespace="http://schemas.microsoft.com/office/2006/metadata/properties" ma:root="true" ma:fieldsID="e3470552e1417294dc2a9fedcc26863b" ns3:_="">
    <xsd:import namespace="a5125414-0bee-4c6f-802a-3e8c3560693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125414-0bee-4c6f-802a-3e8c356069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F95369F-DD96-4037-9A69-AB8B47B53481}">
  <ds:schemaRefs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dcmitype/"/>
    <ds:schemaRef ds:uri="http://purl.org/dc/terms/"/>
    <ds:schemaRef ds:uri="http://schemas.openxmlformats.org/package/2006/metadata/core-properties"/>
    <ds:schemaRef ds:uri="a5125414-0bee-4c6f-802a-3e8c3560693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1A525F2-E975-4B53-8060-75883FA696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960AB7A-5A13-4F78-A844-BCAE9B1486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5125414-0bee-4c6f-802a-3e8c356069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Current Inventory</vt:lpstr>
      <vt:lpstr>Categories</vt:lpstr>
      <vt:lpstr>Suppliers</vt:lpstr>
      <vt:lpstr>Replenishment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alome</dc:creator>
  <cp:lastModifiedBy>Chava Kelley</cp:lastModifiedBy>
  <dcterms:created xsi:type="dcterms:W3CDTF">2020-01-07T20:53:19Z</dcterms:created>
  <dcterms:modified xsi:type="dcterms:W3CDTF">2020-03-03T21:56:55Z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0x010100F1EC5056B277064D8DFAF6A3EDEE42EA</vt:lpwstr>
  </property>
</Properties>
</file>